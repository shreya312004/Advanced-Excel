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F:\Resume Projects\"/>
    </mc:Choice>
  </mc:AlternateContent>
  <xr:revisionPtr revIDLastSave="0" documentId="8_{75467B10-21DF-49C1-AAAF-75F5620D4033}" xr6:coauthVersionLast="47" xr6:coauthVersionMax="47" xr10:uidLastSave="{00000000-0000-0000-0000-000000000000}"/>
  <bookViews>
    <workbookView xWindow="-108" yWindow="-108" windowWidth="23256" windowHeight="12456" activeTab="2" xr2:uid="{38478702-6DA0-43B6-913C-F34016A50429}"/>
  </bookViews>
  <sheets>
    <sheet name="SOURCE DATA" sheetId="1" r:id="rId1"/>
    <sheet name="PIVOT TABLES" sheetId="2" r:id="rId2"/>
    <sheet name="DASHBOARD" sheetId="3" r:id="rId3"/>
  </sheets>
  <definedNames>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19" i="1" l="1"/>
  <c r="I321" i="1"/>
  <c r="I325" i="1"/>
  <c r="I331" i="1"/>
  <c r="I336" i="1"/>
  <c r="I348" i="1"/>
  <c r="H314" i="1"/>
  <c r="I314" i="1" s="1"/>
  <c r="H315" i="1"/>
  <c r="I315" i="1" s="1"/>
  <c r="H316" i="1"/>
  <c r="I316" i="1" s="1"/>
  <c r="H317" i="1"/>
  <c r="I317" i="1" s="1"/>
  <c r="H318" i="1"/>
  <c r="I318" i="1" s="1"/>
  <c r="H320" i="1"/>
  <c r="I320" i="1" s="1"/>
  <c r="H322" i="1"/>
  <c r="I322" i="1" s="1"/>
  <c r="H323" i="1"/>
  <c r="I323" i="1" s="1"/>
  <c r="H324" i="1"/>
  <c r="I324" i="1" s="1"/>
  <c r="H326" i="1"/>
  <c r="I326" i="1" s="1"/>
  <c r="H327" i="1"/>
  <c r="I327" i="1" s="1"/>
  <c r="H328" i="1"/>
  <c r="I328" i="1" s="1"/>
  <c r="H329" i="1"/>
  <c r="I329" i="1" s="1"/>
  <c r="H330" i="1"/>
  <c r="I330" i="1" s="1"/>
  <c r="H332" i="1"/>
  <c r="I332" i="1" s="1"/>
  <c r="H333" i="1"/>
  <c r="I333" i="1" s="1"/>
  <c r="H334" i="1"/>
  <c r="I334" i="1" s="1"/>
  <c r="H335" i="1"/>
  <c r="I335" i="1" s="1"/>
  <c r="H337" i="1"/>
  <c r="I337" i="1" s="1"/>
  <c r="H338" i="1"/>
  <c r="I338" i="1" s="1"/>
  <c r="H339" i="1"/>
  <c r="I339" i="1" s="1"/>
  <c r="H340" i="1"/>
  <c r="I340" i="1" s="1"/>
  <c r="H341" i="1"/>
  <c r="I341" i="1" s="1"/>
  <c r="H342" i="1"/>
  <c r="I342" i="1" s="1"/>
  <c r="H343" i="1"/>
  <c r="I343" i="1" s="1"/>
  <c r="H344" i="1"/>
  <c r="I344" i="1" s="1"/>
  <c r="H345" i="1"/>
  <c r="I345" i="1" s="1"/>
  <c r="H346" i="1"/>
  <c r="I346" i="1" s="1"/>
  <c r="H347" i="1"/>
  <c r="I347" i="1" s="1"/>
  <c r="H349" i="1"/>
  <c r="I349" i="1" s="1"/>
  <c r="H350" i="1"/>
  <c r="I350" i="1" s="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D343" i="1"/>
  <c r="D344" i="1"/>
  <c r="D345" i="1"/>
  <c r="D346" i="1"/>
  <c r="D347" i="1"/>
  <c r="D349" i="1"/>
  <c r="D350" i="1"/>
  <c r="D342" i="1"/>
  <c r="D341" i="1"/>
  <c r="D340" i="1"/>
  <c r="D339" i="1"/>
  <c r="D338" i="1"/>
  <c r="D337" i="1"/>
  <c r="D335" i="1"/>
  <c r="D334" i="1"/>
  <c r="D333" i="1"/>
  <c r="D332" i="1"/>
  <c r="D330" i="1"/>
  <c r="D329" i="1"/>
  <c r="D328" i="1"/>
  <c r="D327" i="1"/>
  <c r="D326" i="1"/>
  <c r="D324" i="1"/>
  <c r="D323" i="1"/>
  <c r="D322" i="1"/>
  <c r="D320" i="1"/>
  <c r="D318" i="1"/>
  <c r="D317" i="1"/>
  <c r="D316" i="1"/>
  <c r="D315" i="1"/>
  <c r="D314" i="1"/>
  <c r="I278" i="1"/>
  <c r="I281" i="1"/>
  <c r="I282" i="1"/>
  <c r="I286" i="1"/>
  <c r="I289" i="1"/>
  <c r="I290" i="1"/>
  <c r="I291" i="1"/>
  <c r="I294" i="1"/>
  <c r="I296" i="1"/>
  <c r="I297" i="1"/>
  <c r="I298" i="1"/>
  <c r="I302" i="1"/>
  <c r="I305" i="1"/>
  <c r="I306" i="1"/>
  <c r="I310" i="1"/>
  <c r="I311" i="1"/>
  <c r="I313" i="1"/>
  <c r="H277" i="1"/>
  <c r="I277" i="1" s="1"/>
  <c r="H278" i="1"/>
  <c r="H279" i="1"/>
  <c r="I279" i="1" s="1"/>
  <c r="H280" i="1"/>
  <c r="I280" i="1" s="1"/>
  <c r="H281" i="1"/>
  <c r="H282" i="1"/>
  <c r="H283" i="1"/>
  <c r="I283" i="1" s="1"/>
  <c r="H284" i="1"/>
  <c r="I284" i="1" s="1"/>
  <c r="H285" i="1"/>
  <c r="I285" i="1" s="1"/>
  <c r="H286" i="1"/>
  <c r="H287" i="1"/>
  <c r="I287" i="1" s="1"/>
  <c r="H288" i="1"/>
  <c r="I288" i="1" s="1"/>
  <c r="H289" i="1"/>
  <c r="H290" i="1"/>
  <c r="H292" i="1"/>
  <c r="I292" i="1" s="1"/>
  <c r="H293" i="1"/>
  <c r="I293" i="1" s="1"/>
  <c r="H294" i="1"/>
  <c r="H295" i="1"/>
  <c r="I295" i="1" s="1"/>
  <c r="H297" i="1"/>
  <c r="H298" i="1"/>
  <c r="H299" i="1"/>
  <c r="I299" i="1" s="1"/>
  <c r="H300" i="1"/>
  <c r="I300" i="1" s="1"/>
  <c r="H301" i="1"/>
  <c r="I301" i="1" s="1"/>
  <c r="H303" i="1"/>
  <c r="I303" i="1" s="1"/>
  <c r="H304" i="1"/>
  <c r="I304" i="1" s="1"/>
  <c r="H305" i="1"/>
  <c r="H306" i="1"/>
  <c r="H307" i="1"/>
  <c r="I307" i="1" s="1"/>
  <c r="H308" i="1"/>
  <c r="I308" i="1" s="1"/>
  <c r="H309" i="1"/>
  <c r="I309" i="1" s="1"/>
  <c r="H310" i="1"/>
  <c r="H312" i="1"/>
  <c r="I312" i="1" s="1"/>
  <c r="H313"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D306" i="1"/>
  <c r="D307" i="1"/>
  <c r="D308" i="1"/>
  <c r="D309" i="1"/>
  <c r="D310" i="1"/>
  <c r="D312" i="1"/>
  <c r="D313" i="1"/>
  <c r="D305" i="1"/>
  <c r="D304" i="1"/>
  <c r="D303" i="1"/>
  <c r="D301" i="1"/>
  <c r="D300" i="1"/>
  <c r="D299" i="1"/>
  <c r="D298" i="1"/>
  <c r="D297" i="1"/>
  <c r="D295" i="1"/>
  <c r="D294" i="1"/>
  <c r="D293" i="1"/>
  <c r="D292" i="1"/>
  <c r="D290" i="1"/>
  <c r="D289" i="1"/>
  <c r="D288" i="1"/>
  <c r="D287" i="1"/>
  <c r="D286" i="1"/>
  <c r="D285" i="1"/>
  <c r="D284" i="1"/>
  <c r="D283" i="1"/>
  <c r="D282" i="1"/>
  <c r="D281" i="1"/>
  <c r="D280" i="1"/>
  <c r="D279" i="1"/>
  <c r="D278" i="1"/>
  <c r="D277" i="1"/>
  <c r="I251" i="1"/>
  <c r="I252" i="1"/>
  <c r="I253" i="1"/>
  <c r="I256" i="1"/>
  <c r="I257" i="1"/>
  <c r="I258" i="1"/>
  <c r="I264" i="1"/>
  <c r="I267" i="1"/>
  <c r="I272" i="1"/>
  <c r="I275" i="1"/>
  <c r="H251" i="1"/>
  <c r="H252" i="1"/>
  <c r="H254" i="1"/>
  <c r="I254" i="1" s="1"/>
  <c r="H255" i="1"/>
  <c r="I255" i="1" s="1"/>
  <c r="H256" i="1"/>
  <c r="H257" i="1"/>
  <c r="H259" i="1"/>
  <c r="I259" i="1" s="1"/>
  <c r="H260" i="1"/>
  <c r="I260" i="1" s="1"/>
  <c r="H261" i="1"/>
  <c r="I261" i="1" s="1"/>
  <c r="H262" i="1"/>
  <c r="I262" i="1" s="1"/>
  <c r="H263" i="1"/>
  <c r="I263" i="1" s="1"/>
  <c r="H265" i="1"/>
  <c r="I265" i="1" s="1"/>
  <c r="H266" i="1"/>
  <c r="I266" i="1" s="1"/>
  <c r="H267" i="1"/>
  <c r="H268" i="1"/>
  <c r="I268" i="1" s="1"/>
  <c r="H269" i="1"/>
  <c r="I269" i="1" s="1"/>
  <c r="H270" i="1"/>
  <c r="I270" i="1" s="1"/>
  <c r="H271" i="1"/>
  <c r="I271" i="1" s="1"/>
  <c r="H272" i="1"/>
  <c r="H273" i="1"/>
  <c r="I273" i="1" s="1"/>
  <c r="H274" i="1"/>
  <c r="I274" i="1" s="1"/>
  <c r="H275" i="1"/>
  <c r="H276" i="1"/>
  <c r="I276" i="1" s="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D276" i="1"/>
  <c r="D275" i="1"/>
  <c r="D274" i="1"/>
  <c r="D273" i="1"/>
  <c r="D272" i="1"/>
  <c r="D271" i="1"/>
  <c r="D270" i="1"/>
  <c r="D269" i="1"/>
  <c r="D268" i="1"/>
  <c r="D267" i="1"/>
  <c r="D266" i="1"/>
  <c r="D265" i="1"/>
  <c r="D263" i="1"/>
  <c r="D262" i="1"/>
  <c r="D261" i="1"/>
  <c r="D260" i="1"/>
  <c r="D259" i="1"/>
  <c r="D257" i="1"/>
  <c r="D256" i="1"/>
  <c r="D255" i="1"/>
  <c r="D254" i="1"/>
  <c r="D252" i="1"/>
  <c r="D251" i="1"/>
  <c r="I231" i="1"/>
  <c r="I233" i="1"/>
  <c r="I234" i="1"/>
  <c r="I237" i="1"/>
  <c r="I238" i="1"/>
  <c r="I241" i="1"/>
  <c r="I242" i="1"/>
  <c r="I243" i="1"/>
  <c r="I244" i="1"/>
  <c r="I246" i="1"/>
  <c r="I249" i="1"/>
  <c r="H227" i="1"/>
  <c r="I227" i="1" s="1"/>
  <c r="H228" i="1"/>
  <c r="I228" i="1" s="1"/>
  <c r="H229" i="1"/>
  <c r="I229" i="1" s="1"/>
  <c r="H230" i="1"/>
  <c r="I230" i="1" s="1"/>
  <c r="H232" i="1"/>
  <c r="I232" i="1" s="1"/>
  <c r="H234" i="1"/>
  <c r="H235" i="1"/>
  <c r="I235" i="1" s="1"/>
  <c r="H236" i="1"/>
  <c r="I236" i="1" s="1"/>
  <c r="H238" i="1"/>
  <c r="H239" i="1"/>
  <c r="I239" i="1" s="1"/>
  <c r="H240" i="1"/>
  <c r="I240" i="1" s="1"/>
  <c r="H241" i="1"/>
  <c r="H242" i="1"/>
  <c r="H243" i="1"/>
  <c r="H245" i="1"/>
  <c r="I245" i="1" s="1"/>
  <c r="H246" i="1"/>
  <c r="H247" i="1"/>
  <c r="I247" i="1" s="1"/>
  <c r="H248" i="1"/>
  <c r="I248" i="1" s="1"/>
  <c r="H249" i="1"/>
  <c r="H250" i="1"/>
  <c r="I250" i="1" s="1"/>
  <c r="F227" i="1"/>
  <c r="F228" i="1"/>
  <c r="F229" i="1"/>
  <c r="F230" i="1"/>
  <c r="F231" i="1"/>
  <c r="F232" i="1"/>
  <c r="F233" i="1"/>
  <c r="F234" i="1"/>
  <c r="F235" i="1"/>
  <c r="F236" i="1"/>
  <c r="F237" i="1"/>
  <c r="F238" i="1"/>
  <c r="F239" i="1"/>
  <c r="F240" i="1"/>
  <c r="F241" i="1"/>
  <c r="F242" i="1"/>
  <c r="F243" i="1"/>
  <c r="F244" i="1"/>
  <c r="F245" i="1"/>
  <c r="F246" i="1"/>
  <c r="F247" i="1"/>
  <c r="F248" i="1"/>
  <c r="F249" i="1"/>
  <c r="F250" i="1"/>
  <c r="D250" i="1"/>
  <c r="D249" i="1"/>
  <c r="D248" i="1"/>
  <c r="D247" i="1"/>
  <c r="D246" i="1"/>
  <c r="D245" i="1"/>
  <c r="D243" i="1"/>
  <c r="D242" i="1"/>
  <c r="D241" i="1"/>
  <c r="D240" i="1"/>
  <c r="D239" i="1"/>
  <c r="D238" i="1"/>
  <c r="D236" i="1"/>
  <c r="D235" i="1"/>
  <c r="D234" i="1"/>
  <c r="D232" i="1"/>
  <c r="D230" i="1"/>
  <c r="D229" i="1"/>
  <c r="D228" i="1"/>
  <c r="D227" i="1"/>
  <c r="I204" i="1"/>
  <c r="I205" i="1"/>
  <c r="I207" i="1"/>
  <c r="I208" i="1"/>
  <c r="I209" i="1"/>
  <c r="I216" i="1"/>
  <c r="I220" i="1"/>
  <c r="I223" i="1"/>
  <c r="H201" i="1"/>
  <c r="I201" i="1" s="1"/>
  <c r="H202" i="1"/>
  <c r="I202" i="1" s="1"/>
  <c r="H203" i="1"/>
  <c r="I203" i="1" s="1"/>
  <c r="H205" i="1"/>
  <c r="H206" i="1"/>
  <c r="I206" i="1" s="1"/>
  <c r="H207" i="1"/>
  <c r="H208" i="1"/>
  <c r="H210" i="1"/>
  <c r="I210" i="1" s="1"/>
  <c r="H211" i="1"/>
  <c r="I211" i="1" s="1"/>
  <c r="H212" i="1"/>
  <c r="I212" i="1" s="1"/>
  <c r="H213" i="1"/>
  <c r="I213" i="1" s="1"/>
  <c r="H214" i="1"/>
  <c r="I214" i="1" s="1"/>
  <c r="H215" i="1"/>
  <c r="I215" i="1" s="1"/>
  <c r="H217" i="1"/>
  <c r="I217" i="1" s="1"/>
  <c r="H218" i="1"/>
  <c r="I218" i="1" s="1"/>
  <c r="H219" i="1"/>
  <c r="I219" i="1" s="1"/>
  <c r="H220" i="1"/>
  <c r="H221" i="1"/>
  <c r="I221" i="1" s="1"/>
  <c r="H222" i="1"/>
  <c r="I222" i="1" s="1"/>
  <c r="H223" i="1"/>
  <c r="H224" i="1"/>
  <c r="I224" i="1" s="1"/>
  <c r="H225" i="1"/>
  <c r="I225" i="1" s="1"/>
  <c r="H226" i="1"/>
  <c r="I226" i="1" s="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D226" i="1"/>
  <c r="D225" i="1"/>
  <c r="D224" i="1"/>
  <c r="D223" i="1"/>
  <c r="D222" i="1"/>
  <c r="D221" i="1"/>
  <c r="D220" i="1"/>
  <c r="D219" i="1"/>
  <c r="D218" i="1"/>
  <c r="D217" i="1"/>
  <c r="D215" i="1"/>
  <c r="D214" i="1"/>
  <c r="D213" i="1"/>
  <c r="D212" i="1"/>
  <c r="D211" i="1"/>
  <c r="D210" i="1"/>
  <c r="D208" i="1"/>
  <c r="D207" i="1"/>
  <c r="D206" i="1"/>
  <c r="D205" i="1"/>
  <c r="D203" i="1"/>
  <c r="D202" i="1"/>
  <c r="D201" i="1"/>
  <c r="I165" i="1"/>
  <c r="I168" i="1"/>
  <c r="I170" i="1"/>
  <c r="I172" i="1"/>
  <c r="I176" i="1"/>
  <c r="I177" i="1"/>
  <c r="I181" i="1"/>
  <c r="I184" i="1"/>
  <c r="I185" i="1"/>
  <c r="I189" i="1"/>
  <c r="I190" i="1"/>
  <c r="I192" i="1"/>
  <c r="I197" i="1"/>
  <c r="I198" i="1"/>
  <c r="I200" i="1"/>
  <c r="H164" i="1"/>
  <c r="I164" i="1" s="1"/>
  <c r="H166" i="1"/>
  <c r="I166" i="1" s="1"/>
  <c r="H167" i="1"/>
  <c r="I167" i="1" s="1"/>
  <c r="H168" i="1"/>
  <c r="H169" i="1"/>
  <c r="I169" i="1" s="1"/>
  <c r="H171" i="1"/>
  <c r="I171" i="1" s="1"/>
  <c r="H172" i="1"/>
  <c r="H173" i="1"/>
  <c r="I173" i="1" s="1"/>
  <c r="H174" i="1"/>
  <c r="I174" i="1" s="1"/>
  <c r="H175" i="1"/>
  <c r="I175" i="1" s="1"/>
  <c r="H176" i="1"/>
  <c r="H178" i="1"/>
  <c r="I178" i="1" s="1"/>
  <c r="H179" i="1"/>
  <c r="I179" i="1" s="1"/>
  <c r="H180" i="1"/>
  <c r="I180" i="1" s="1"/>
  <c r="H181" i="1"/>
  <c r="H182" i="1"/>
  <c r="I182" i="1" s="1"/>
  <c r="H183" i="1"/>
  <c r="I183" i="1" s="1"/>
  <c r="H184" i="1"/>
  <c r="H186" i="1"/>
  <c r="I186" i="1" s="1"/>
  <c r="H187" i="1"/>
  <c r="I187" i="1" s="1"/>
  <c r="H188" i="1"/>
  <c r="I188" i="1" s="1"/>
  <c r="H189" i="1"/>
  <c r="H190" i="1"/>
  <c r="H191" i="1"/>
  <c r="I191" i="1" s="1"/>
  <c r="H192" i="1"/>
  <c r="H193" i="1"/>
  <c r="I193" i="1" s="1"/>
  <c r="H194" i="1"/>
  <c r="I194" i="1" s="1"/>
  <c r="H195" i="1"/>
  <c r="I195" i="1" s="1"/>
  <c r="H196" i="1"/>
  <c r="I196" i="1" s="1"/>
  <c r="H197" i="1"/>
  <c r="H198" i="1"/>
  <c r="H199" i="1"/>
  <c r="I199" i="1" s="1"/>
  <c r="H200"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D200" i="1"/>
  <c r="D199" i="1"/>
  <c r="D198" i="1"/>
  <c r="D197" i="1"/>
  <c r="D196" i="1"/>
  <c r="D195" i="1"/>
  <c r="D194" i="1"/>
  <c r="D193" i="1"/>
  <c r="D192" i="1"/>
  <c r="D191" i="1"/>
  <c r="D190" i="1"/>
  <c r="D189" i="1"/>
  <c r="D188" i="1"/>
  <c r="D187" i="1"/>
  <c r="D186" i="1"/>
  <c r="D184" i="1"/>
  <c r="D183" i="1"/>
  <c r="D182" i="1"/>
  <c r="D181" i="1"/>
  <c r="D180" i="1"/>
  <c r="D179" i="1"/>
  <c r="D178" i="1"/>
  <c r="D176" i="1"/>
  <c r="D175" i="1"/>
  <c r="D174" i="1"/>
  <c r="D173" i="1"/>
  <c r="D172" i="1"/>
  <c r="D171" i="1"/>
  <c r="D169" i="1"/>
  <c r="D168" i="1"/>
  <c r="D167" i="1"/>
  <c r="D166" i="1"/>
  <c r="D164" i="1"/>
  <c r="I138" i="1"/>
  <c r="I143" i="1"/>
  <c r="H139" i="1"/>
  <c r="I139" i="1" s="1"/>
  <c r="H140" i="1"/>
  <c r="I140" i="1" s="1"/>
  <c r="H141" i="1"/>
  <c r="I141" i="1" s="1"/>
  <c r="H142" i="1"/>
  <c r="I142"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38"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D139" i="1"/>
  <c r="D140" i="1"/>
  <c r="D141" i="1"/>
  <c r="D142" i="1"/>
  <c r="D144" i="1"/>
  <c r="D145" i="1"/>
  <c r="D146" i="1"/>
  <c r="D147" i="1"/>
  <c r="D148" i="1"/>
  <c r="D149" i="1"/>
  <c r="D150" i="1"/>
  <c r="D151" i="1"/>
  <c r="D152" i="1"/>
  <c r="D153" i="1"/>
  <c r="D154" i="1"/>
  <c r="D155" i="1"/>
  <c r="D156" i="1"/>
  <c r="D157" i="1"/>
  <c r="D158" i="1"/>
  <c r="D159" i="1"/>
  <c r="D160" i="1"/>
  <c r="D161" i="1"/>
  <c r="D163" i="1"/>
  <c r="D138" i="1"/>
  <c r="I112" i="1"/>
  <c r="I114" i="1"/>
  <c r="I116" i="1"/>
  <c r="I119" i="1"/>
  <c r="I122" i="1"/>
  <c r="I127" i="1"/>
  <c r="I130" i="1"/>
  <c r="I132" i="1"/>
  <c r="I135" i="1"/>
  <c r="I136" i="1"/>
  <c r="I137" i="1"/>
  <c r="H111" i="1"/>
  <c r="I111" i="1" s="1"/>
  <c r="H112" i="1"/>
  <c r="H113" i="1"/>
  <c r="I113" i="1" s="1"/>
  <c r="H114" i="1"/>
  <c r="H115" i="1"/>
  <c r="I115" i="1" s="1"/>
  <c r="H117" i="1"/>
  <c r="I117" i="1" s="1"/>
  <c r="H118" i="1"/>
  <c r="I118" i="1" s="1"/>
  <c r="H119" i="1"/>
  <c r="H120" i="1"/>
  <c r="I120" i="1" s="1"/>
  <c r="H121" i="1"/>
  <c r="I121" i="1" s="1"/>
  <c r="H122" i="1"/>
  <c r="H123" i="1"/>
  <c r="I123" i="1" s="1"/>
  <c r="H124" i="1"/>
  <c r="I124" i="1" s="1"/>
  <c r="H125" i="1"/>
  <c r="I125" i="1" s="1"/>
  <c r="H126" i="1"/>
  <c r="I126" i="1" s="1"/>
  <c r="H127" i="1"/>
  <c r="H128" i="1"/>
  <c r="I128" i="1" s="1"/>
  <c r="H129" i="1"/>
  <c r="I129" i="1" s="1"/>
  <c r="H130" i="1"/>
  <c r="H131" i="1"/>
  <c r="I131" i="1" s="1"/>
  <c r="H133" i="1"/>
  <c r="I133" i="1" s="1"/>
  <c r="H134" i="1"/>
  <c r="I134" i="1" s="1"/>
  <c r="H135" i="1"/>
  <c r="H136"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D111" i="1"/>
  <c r="D112" i="1"/>
  <c r="D113" i="1"/>
  <c r="D114" i="1"/>
  <c r="D115" i="1"/>
  <c r="D117" i="1"/>
  <c r="D118" i="1"/>
  <c r="D119" i="1"/>
  <c r="D120" i="1"/>
  <c r="D121" i="1"/>
  <c r="D122" i="1"/>
  <c r="D123" i="1"/>
  <c r="D124" i="1"/>
  <c r="D125" i="1"/>
  <c r="D126" i="1"/>
  <c r="D127" i="1"/>
  <c r="D128" i="1"/>
  <c r="D129" i="1"/>
  <c r="D130" i="1"/>
  <c r="D131" i="1"/>
  <c r="D133" i="1"/>
  <c r="D134" i="1"/>
  <c r="D135" i="1"/>
  <c r="D136" i="1"/>
  <c r="I81" i="1"/>
  <c r="I83" i="1"/>
  <c r="I84" i="1"/>
  <c r="I86" i="1"/>
  <c r="I88" i="1"/>
  <c r="I90" i="1"/>
  <c r="I91" i="1"/>
  <c r="I94" i="1"/>
  <c r="I96" i="1"/>
  <c r="I97" i="1"/>
  <c r="I99" i="1"/>
  <c r="I102" i="1"/>
  <c r="I104" i="1"/>
  <c r="I105" i="1"/>
  <c r="I107" i="1"/>
  <c r="I110" i="1"/>
  <c r="H81" i="1"/>
  <c r="H82" i="1"/>
  <c r="I82" i="1" s="1"/>
  <c r="H83" i="1"/>
  <c r="H85" i="1"/>
  <c r="I85" i="1" s="1"/>
  <c r="H86" i="1"/>
  <c r="H87" i="1"/>
  <c r="I87" i="1" s="1"/>
  <c r="H88" i="1"/>
  <c r="H89" i="1"/>
  <c r="I89" i="1" s="1"/>
  <c r="H90" i="1"/>
  <c r="H92" i="1"/>
  <c r="I92" i="1" s="1"/>
  <c r="H93" i="1"/>
  <c r="I93" i="1" s="1"/>
  <c r="H94" i="1"/>
  <c r="H95" i="1"/>
  <c r="I95" i="1" s="1"/>
  <c r="H96" i="1"/>
  <c r="H97" i="1"/>
  <c r="H98" i="1"/>
  <c r="I98" i="1" s="1"/>
  <c r="H99" i="1"/>
  <c r="H100" i="1"/>
  <c r="I100" i="1" s="1"/>
  <c r="H101" i="1"/>
  <c r="I101" i="1" s="1"/>
  <c r="H102" i="1"/>
  <c r="H103" i="1"/>
  <c r="I103" i="1" s="1"/>
  <c r="H104" i="1"/>
  <c r="H105" i="1"/>
  <c r="H106" i="1"/>
  <c r="I106" i="1" s="1"/>
  <c r="H107" i="1"/>
  <c r="H108" i="1"/>
  <c r="I108" i="1" s="1"/>
  <c r="H109" i="1"/>
  <c r="I109" i="1" s="1"/>
  <c r="H11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D81" i="1"/>
  <c r="D82" i="1"/>
  <c r="D83" i="1"/>
  <c r="D85" i="1"/>
  <c r="D86" i="1"/>
  <c r="D87" i="1"/>
  <c r="D88" i="1"/>
  <c r="D89" i="1"/>
  <c r="D90" i="1"/>
  <c r="D92" i="1"/>
  <c r="D93" i="1"/>
  <c r="D94" i="1"/>
  <c r="D95" i="1"/>
  <c r="D96" i="1"/>
  <c r="D97" i="1"/>
  <c r="D98" i="1"/>
  <c r="D99" i="1"/>
  <c r="D100" i="1"/>
  <c r="D101" i="1"/>
  <c r="D102" i="1"/>
  <c r="D103" i="1"/>
  <c r="D104" i="1"/>
  <c r="D105" i="1"/>
  <c r="D106" i="1"/>
  <c r="D107" i="1"/>
  <c r="D108" i="1"/>
  <c r="D109" i="1"/>
  <c r="D110" i="1"/>
  <c r="I57" i="1"/>
  <c r="I59" i="1"/>
  <c r="I62" i="1"/>
  <c r="I63" i="1"/>
  <c r="I65" i="1"/>
  <c r="I67" i="1"/>
  <c r="I69" i="1"/>
  <c r="I70" i="1"/>
  <c r="I73" i="1"/>
  <c r="I74" i="1"/>
  <c r="I76" i="1"/>
  <c r="I78" i="1"/>
  <c r="I79" i="1"/>
  <c r="H56" i="1"/>
  <c r="I56" i="1" s="1"/>
  <c r="H57" i="1"/>
  <c r="H58" i="1"/>
  <c r="I58" i="1" s="1"/>
  <c r="H59" i="1"/>
  <c r="H60" i="1"/>
  <c r="I60" i="1" s="1"/>
  <c r="H61" i="1"/>
  <c r="I61" i="1" s="1"/>
  <c r="H62" i="1"/>
  <c r="H63" i="1"/>
  <c r="H64" i="1"/>
  <c r="I64" i="1" s="1"/>
  <c r="H65" i="1"/>
  <c r="H66" i="1"/>
  <c r="I66" i="1" s="1"/>
  <c r="H68" i="1"/>
  <c r="I68" i="1" s="1"/>
  <c r="H70" i="1"/>
  <c r="H71" i="1"/>
  <c r="I71" i="1" s="1"/>
  <c r="H72" i="1"/>
  <c r="I72" i="1" s="1"/>
  <c r="H74" i="1"/>
  <c r="H75" i="1"/>
  <c r="I75" i="1" s="1"/>
  <c r="H76" i="1"/>
  <c r="H77" i="1"/>
  <c r="I77" i="1" s="1"/>
  <c r="H78" i="1"/>
  <c r="H80" i="1"/>
  <c r="I80" i="1" s="1"/>
  <c r="F56" i="1"/>
  <c r="F57" i="1"/>
  <c r="F58" i="1"/>
  <c r="F59" i="1"/>
  <c r="F60" i="1"/>
  <c r="F61" i="1"/>
  <c r="F62" i="1"/>
  <c r="F63" i="1"/>
  <c r="F64" i="1"/>
  <c r="F65" i="1"/>
  <c r="F66" i="1"/>
  <c r="F67" i="1"/>
  <c r="F68" i="1"/>
  <c r="F69" i="1"/>
  <c r="F70" i="1"/>
  <c r="F71" i="1"/>
  <c r="F72" i="1"/>
  <c r="F73" i="1"/>
  <c r="F74" i="1"/>
  <c r="F75" i="1"/>
  <c r="F76" i="1"/>
  <c r="F77" i="1"/>
  <c r="F78" i="1"/>
  <c r="F79" i="1"/>
  <c r="F80" i="1"/>
  <c r="D56" i="1"/>
  <c r="D57" i="1"/>
  <c r="D58" i="1"/>
  <c r="D59" i="1"/>
  <c r="D60" i="1"/>
  <c r="D61" i="1"/>
  <c r="D62" i="1"/>
  <c r="D63" i="1"/>
  <c r="D64" i="1"/>
  <c r="D65" i="1"/>
  <c r="D66" i="1"/>
  <c r="D68" i="1"/>
  <c r="D70" i="1"/>
  <c r="D71" i="1"/>
  <c r="D72" i="1"/>
  <c r="D74" i="1"/>
  <c r="D75" i="1"/>
  <c r="D76" i="1"/>
  <c r="D77" i="1"/>
  <c r="D78" i="1"/>
  <c r="D80" i="1"/>
  <c r="I30" i="1"/>
  <c r="I32" i="1"/>
  <c r="I34" i="1"/>
  <c r="I37" i="1"/>
  <c r="I39" i="1"/>
  <c r="I40" i="1"/>
  <c r="I42" i="1"/>
  <c r="I43" i="1"/>
  <c r="I50" i="1"/>
  <c r="I52" i="1"/>
  <c r="I55" i="1"/>
  <c r="H29" i="1"/>
  <c r="I29" i="1" s="1"/>
  <c r="H30" i="1"/>
  <c r="H31" i="1"/>
  <c r="I31" i="1" s="1"/>
  <c r="H32" i="1"/>
  <c r="H33" i="1"/>
  <c r="I33" i="1" s="1"/>
  <c r="H34" i="1"/>
  <c r="H35" i="1"/>
  <c r="I35" i="1" s="1"/>
  <c r="H36" i="1"/>
  <c r="I36" i="1" s="1"/>
  <c r="H38" i="1"/>
  <c r="I38" i="1" s="1"/>
  <c r="H40" i="1"/>
  <c r="H41" i="1"/>
  <c r="I41" i="1" s="1"/>
  <c r="H42" i="1"/>
  <c r="H44" i="1"/>
  <c r="I44" i="1" s="1"/>
  <c r="H45" i="1"/>
  <c r="I45" i="1" s="1"/>
  <c r="H46" i="1"/>
  <c r="I46" i="1" s="1"/>
  <c r="H47" i="1"/>
  <c r="I47" i="1" s="1"/>
  <c r="H48" i="1"/>
  <c r="I48" i="1" s="1"/>
  <c r="H49" i="1"/>
  <c r="I49" i="1" s="1"/>
  <c r="H51" i="1"/>
  <c r="I51" i="1" s="1"/>
  <c r="H52" i="1"/>
  <c r="H53" i="1"/>
  <c r="I53" i="1" s="1"/>
  <c r="H54" i="1"/>
  <c r="I54" i="1" s="1"/>
  <c r="H55" i="1"/>
  <c r="F55" i="1"/>
  <c r="F54" i="1"/>
  <c r="F53" i="1"/>
  <c r="F52" i="1"/>
  <c r="F51" i="1"/>
  <c r="F50" i="1"/>
  <c r="F49" i="1"/>
  <c r="F48" i="1"/>
  <c r="F47" i="1"/>
  <c r="F46" i="1"/>
  <c r="F45" i="1"/>
  <c r="F44" i="1"/>
  <c r="F43" i="1"/>
  <c r="F42" i="1"/>
  <c r="F41" i="1"/>
  <c r="F40" i="1"/>
  <c r="F39" i="1"/>
  <c r="F38" i="1"/>
  <c r="F37" i="1"/>
  <c r="F36" i="1"/>
  <c r="F35" i="1"/>
  <c r="F34" i="1"/>
  <c r="F33" i="1"/>
  <c r="F32" i="1"/>
  <c r="F31" i="1"/>
  <c r="F30" i="1"/>
  <c r="F29" i="1"/>
  <c r="D38" i="1"/>
  <c r="D40" i="1"/>
  <c r="D41" i="1"/>
  <c r="D42" i="1"/>
  <c r="D44" i="1"/>
  <c r="D45" i="1"/>
  <c r="D46" i="1"/>
  <c r="D47" i="1"/>
  <c r="D48" i="1"/>
  <c r="D49" i="1"/>
  <c r="D51" i="1"/>
  <c r="D52" i="1"/>
  <c r="D53" i="1"/>
  <c r="D54" i="1"/>
  <c r="D55" i="1"/>
  <c r="D29" i="1"/>
  <c r="D30" i="1"/>
  <c r="D31" i="1"/>
  <c r="D32" i="1"/>
  <c r="D33" i="1"/>
  <c r="D34" i="1"/>
  <c r="D35" i="1"/>
  <c r="D36" i="1"/>
  <c r="I4" i="1"/>
  <c r="I8" i="1"/>
  <c r="I10" i="1"/>
  <c r="I12" i="1"/>
  <c r="I14" i="1"/>
  <c r="I16" i="1"/>
  <c r="I23" i="1"/>
  <c r="I25" i="1"/>
  <c r="I28" i="1"/>
  <c r="I2" i="1"/>
  <c r="H3" i="1"/>
  <c r="I3" i="1" s="1"/>
  <c r="H4" i="1"/>
  <c r="H5" i="1"/>
  <c r="I5" i="1" s="1"/>
  <c r="H6" i="1"/>
  <c r="I6" i="1" s="1"/>
  <c r="H7" i="1"/>
  <c r="I7" i="1" s="1"/>
  <c r="H8" i="1"/>
  <c r="H9" i="1"/>
  <c r="I9" i="1" s="1"/>
  <c r="H11" i="1"/>
  <c r="I11" i="1" s="1"/>
  <c r="H13" i="1"/>
  <c r="I13" i="1" s="1"/>
  <c r="H14" i="1"/>
  <c r="H15" i="1"/>
  <c r="I15" i="1" s="1"/>
  <c r="H17" i="1"/>
  <c r="I17" i="1" s="1"/>
  <c r="H18" i="1"/>
  <c r="I18" i="1" s="1"/>
  <c r="H19" i="1"/>
  <c r="I19" i="1" s="1"/>
  <c r="H20" i="1"/>
  <c r="I20" i="1" s="1"/>
  <c r="H21" i="1"/>
  <c r="I21" i="1" s="1"/>
  <c r="H22" i="1"/>
  <c r="I22" i="1" s="1"/>
  <c r="H24" i="1"/>
  <c r="I24" i="1" s="1"/>
  <c r="H25" i="1"/>
  <c r="H26" i="1"/>
  <c r="I26" i="1" s="1"/>
  <c r="H27" i="1"/>
  <c r="I27" i="1" s="1"/>
  <c r="H28" i="1"/>
  <c r="F2" i="1"/>
  <c r="F3" i="1"/>
  <c r="F4" i="1"/>
  <c r="F5" i="1"/>
  <c r="F6" i="1"/>
  <c r="F7" i="1"/>
  <c r="F8" i="1"/>
  <c r="F9" i="1"/>
  <c r="F10" i="1"/>
  <c r="F11" i="1"/>
  <c r="F12" i="1"/>
  <c r="F13" i="1"/>
  <c r="F14" i="1"/>
  <c r="F15" i="1"/>
  <c r="F16" i="1"/>
  <c r="F17" i="1"/>
  <c r="F18" i="1"/>
  <c r="F19" i="1"/>
  <c r="F20" i="1"/>
  <c r="F21" i="1"/>
  <c r="F22" i="1"/>
  <c r="F23" i="1"/>
  <c r="F24" i="1"/>
  <c r="F25" i="1"/>
  <c r="F26" i="1"/>
  <c r="F27" i="1"/>
  <c r="F28" i="1"/>
  <c r="D28" i="1"/>
  <c r="D8" i="1"/>
  <c r="D3" i="1"/>
  <c r="D4" i="1"/>
  <c r="D5" i="1"/>
  <c r="D6" i="1"/>
  <c r="D7" i="1"/>
  <c r="D9" i="1"/>
  <c r="D11" i="1"/>
  <c r="D13" i="1"/>
  <c r="D14" i="1"/>
  <c r="D15" i="1"/>
  <c r="D17" i="1"/>
  <c r="D18" i="1"/>
  <c r="D19" i="1"/>
  <c r="D20" i="1"/>
  <c r="D21" i="1"/>
  <c r="D22" i="1"/>
  <c r="D24" i="1"/>
  <c r="D25" i="1"/>
  <c r="D26" i="1"/>
  <c r="D27" i="1"/>
  <c r="D2" i="1"/>
</calcChain>
</file>

<file path=xl/sharedStrings.xml><?xml version="1.0" encoding="utf-8"?>
<sst xmlns="http://schemas.openxmlformats.org/spreadsheetml/2006/main" count="870" uniqueCount="85">
  <si>
    <t>Date</t>
  </si>
  <si>
    <t>Product</t>
  </si>
  <si>
    <t>Category</t>
  </si>
  <si>
    <t>Sales Rep</t>
  </si>
  <si>
    <t>City</t>
  </si>
  <si>
    <t>No. of units</t>
  </si>
  <si>
    <t>Price</t>
  </si>
  <si>
    <t>Amount</t>
  </si>
  <si>
    <t>PARACETAMOL</t>
  </si>
  <si>
    <t>AMOXICILLIN</t>
  </si>
  <si>
    <t>PANTOPRAZOLE</t>
  </si>
  <si>
    <t>GELUSIL</t>
  </si>
  <si>
    <t>CETRIZINE</t>
  </si>
  <si>
    <t>MEFTAL SPAS</t>
  </si>
  <si>
    <t>VITAMIN C</t>
  </si>
  <si>
    <t>POVIDONE</t>
  </si>
  <si>
    <t>MUPIROCIN</t>
  </si>
  <si>
    <t>METFORMIN</t>
  </si>
  <si>
    <t>VITAMIN D3</t>
  </si>
  <si>
    <t>AZITHROMYCIN</t>
  </si>
  <si>
    <t>IBUPROFEN</t>
  </si>
  <si>
    <t>category</t>
  </si>
  <si>
    <t>paracetamol</t>
  </si>
  <si>
    <t>amoxicillin</t>
  </si>
  <si>
    <t>pantoprazole</t>
  </si>
  <si>
    <t>cetrizine</t>
  </si>
  <si>
    <t>gelusil</t>
  </si>
  <si>
    <t>meftal spas</t>
  </si>
  <si>
    <t>pvidone</t>
  </si>
  <si>
    <t>vitamin c</t>
  </si>
  <si>
    <t>vitamil d3</t>
  </si>
  <si>
    <t>mupirocin</t>
  </si>
  <si>
    <t>metformin</t>
  </si>
  <si>
    <t>azithromycin</t>
  </si>
  <si>
    <t>ibuprofen</t>
  </si>
  <si>
    <t>analgesic</t>
  </si>
  <si>
    <t>antacids</t>
  </si>
  <si>
    <t>antihistamines</t>
  </si>
  <si>
    <t>antipyretic</t>
  </si>
  <si>
    <t>vitamins</t>
  </si>
  <si>
    <t>antibacterial</t>
  </si>
  <si>
    <t>antibiotic</t>
  </si>
  <si>
    <t>antidiabetic</t>
  </si>
  <si>
    <t>Coproduct</t>
  </si>
  <si>
    <t>TARA</t>
  </si>
  <si>
    <t>SANIKA</t>
  </si>
  <si>
    <t>ASIF</t>
  </si>
  <si>
    <t>RAJ</t>
  </si>
  <si>
    <t>LAILA</t>
  </si>
  <si>
    <t>BANGLORE</t>
  </si>
  <si>
    <t>PUNE</t>
  </si>
  <si>
    <t>MUMBAI</t>
  </si>
  <si>
    <t>HYDERABAD</t>
  </si>
  <si>
    <t>CHENNAI</t>
  </si>
  <si>
    <t>ISHA</t>
  </si>
  <si>
    <t>OM</t>
  </si>
  <si>
    <t>PREM</t>
  </si>
  <si>
    <t>VISHAL</t>
  </si>
  <si>
    <t>DELHI</t>
  </si>
  <si>
    <t>NAGPUR</t>
  </si>
  <si>
    <t>KRISH</t>
  </si>
  <si>
    <t>YASH</t>
  </si>
  <si>
    <t>MIHIKA</t>
  </si>
  <si>
    <t>JASMINE</t>
  </si>
  <si>
    <t>NEEL</t>
  </si>
  <si>
    <t>SALES REP</t>
  </si>
  <si>
    <t>CITY</t>
  </si>
  <si>
    <t>PRICE</t>
  </si>
  <si>
    <t>VITAMIN DC</t>
  </si>
  <si>
    <t>Row Labels</t>
  </si>
  <si>
    <t>Grand Total</t>
  </si>
  <si>
    <t>Sum of Amount</t>
  </si>
  <si>
    <t>Jan</t>
  </si>
  <si>
    <t>Feb</t>
  </si>
  <si>
    <t>Mar</t>
  </si>
  <si>
    <t>Apr</t>
  </si>
  <si>
    <t>May</t>
  </si>
  <si>
    <t>Jun</t>
  </si>
  <si>
    <t>Jul</t>
  </si>
  <si>
    <t>Aug</t>
  </si>
  <si>
    <t>Sep</t>
  </si>
  <si>
    <t>Oct</t>
  </si>
  <si>
    <t>Nov</t>
  </si>
  <si>
    <t>Dec</t>
  </si>
  <si>
    <t>ADITYA's STORE SALES IN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</si>
</sst>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4" x14ac:knownFonts="1">
    <font>
      <sz val="11"/>
      <color theme="1"/>
      <name val="Calibri"/>
      <family val="2"/>
      <scheme val="minor"/>
    </font>
    <font>
      <b/>
      <sz val="11"/>
      <color theme="1"/>
      <name val="Calibri"/>
      <family val="2"/>
      <scheme val="minor"/>
    </font>
    <font>
      <b/>
      <i/>
      <sz val="24"/>
      <color theme="1"/>
      <name val="Calibri"/>
      <family val="2"/>
      <scheme val="minor"/>
    </font>
    <font>
      <sz val="2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164" fontId="0" fillId="0" borderId="0" xfId="0" applyNumberFormat="1"/>
    <xf numFmtId="14" fontId="0" fillId="0" borderId="1" xfId="0" applyNumberFormat="1" applyBorder="1"/>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165" fontId="0" fillId="0" borderId="0" xfId="0" applyNumberFormat="1"/>
    <xf numFmtId="0" fontId="2" fillId="0" borderId="0" xfId="0" applyFont="1"/>
    <xf numFmtId="0" fontId="3" fillId="0" borderId="0" xfId="0" applyFont="1"/>
  </cellXfs>
  <cellStyles count="1">
    <cellStyle name="Normal" xfId="0" builtinId="0"/>
  </cellStyles>
  <dxfs count="1">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[Medicines Sales Dashboard.xlsx]PIVOT TABLES!CITY</c:name>
    <c:fmtId val="7"/>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Sales by CITY</a:t>
            </a:r>
          </a:p>
          <a:p>
            <a:pPr algn="ctr" rtl="0">
              <a:defRPr lang="en-US" sz="1600" b="1" i="1">
                <a:solidFill>
                  <a:srgbClr val="FF0000"/>
                </a:solidFill>
              </a:defRPr>
            </a:pPr>
            <a:endParaRPr lang="en-US" sz="1600" b="1" i="1" u="none" strike="noStrike" kern="1200" spc="0" baseline="0">
              <a:solidFill>
                <a:srgbClr val="FF0000"/>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layout>
            <c:manualLayout>
              <c:x val="-9.8039711934156379E-2"/>
              <c:y val="-0.1079867919853979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layout>
            <c:manualLayout>
              <c:x val="-9.8039711934156476E-2"/>
              <c:y val="-9.978265496855788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9.2813374485596803E-2"/>
              <c:y val="6.430008536824462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9.8039711934156379E-2"/>
              <c:y val="5.609594835140450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871810699588476E-2"/>
          <c:y val="0.25383559431524549"/>
          <c:w val="0.94193062184946608"/>
          <c:h val="0.66810800039852547"/>
        </c:manualLayout>
      </c:layout>
      <c:lineChart>
        <c:grouping val="standard"/>
        <c:varyColors val="0"/>
        <c:ser>
          <c:idx val="0"/>
          <c:order val="0"/>
          <c:tx>
            <c:strRef>
              <c:f>'PIVOT TABLES'!$B$3</c:f>
              <c:strCache>
                <c:ptCount val="1"/>
                <c:pt idx="0">
                  <c:v>Total</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1-78B0-41E8-B16B-360418689F4C}"/>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0-5949-4CC1-9B2C-C807DE605507}"/>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4-78B0-41E8-B16B-360418689F4C}"/>
              </c:ext>
            </c:extLst>
          </c:dPt>
          <c:dLbls>
            <c:dLbl>
              <c:idx val="0"/>
              <c:layout>
                <c:manualLayout>
                  <c:x val="-9.8039711934156379E-2"/>
                  <c:y val="-0.107986791985397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B0-41E8-B16B-360418689F4C}"/>
                </c:ext>
              </c:extLst>
            </c:dLbl>
            <c:dLbl>
              <c:idx val="2"/>
              <c:layout>
                <c:manualLayout>
                  <c:x val="-9.8039711934156379E-2"/>
                  <c:y val="5.60959483514045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49-4CC1-9B2C-C807DE605507}"/>
                </c:ext>
              </c:extLst>
            </c:dLbl>
            <c:dLbl>
              <c:idx val="3"/>
              <c:layout>
                <c:manualLayout>
                  <c:x val="-9.8039711934156476E-2"/>
                  <c:y val="-9.97826549685578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B0-41E8-B16B-360418689F4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TABLES'!$A$4:$A$9</c:f>
              <c:strCache>
                <c:ptCount val="5"/>
                <c:pt idx="0">
                  <c:v>BANGLORE</c:v>
                </c:pt>
                <c:pt idx="1">
                  <c:v>CHENNAI</c:v>
                </c:pt>
                <c:pt idx="2">
                  <c:v>HYDERABAD</c:v>
                </c:pt>
                <c:pt idx="3">
                  <c:v>MUMBAI</c:v>
                </c:pt>
                <c:pt idx="4">
                  <c:v>PUNE</c:v>
                </c:pt>
              </c:strCache>
            </c:strRef>
          </c:cat>
          <c:val>
            <c:numRef>
              <c:f>'PIVOT TABLES'!$B$4:$B$9</c:f>
              <c:numCache>
                <c:formatCode>#,##0.0</c:formatCode>
                <c:ptCount val="5"/>
                <c:pt idx="0">
                  <c:v>245400</c:v>
                </c:pt>
                <c:pt idx="1">
                  <c:v>305456</c:v>
                </c:pt>
                <c:pt idx="2">
                  <c:v>86100</c:v>
                </c:pt>
                <c:pt idx="3">
                  <c:v>184945</c:v>
                </c:pt>
                <c:pt idx="4">
                  <c:v>311458</c:v>
                </c:pt>
              </c:numCache>
            </c:numRef>
          </c:val>
          <c:smooth val="0"/>
          <c:extLst>
            <c:ext xmlns:c16="http://schemas.microsoft.com/office/drawing/2014/chart" uri="{C3380CC4-5D6E-409C-BE32-E72D297353CC}">
              <c16:uniqueId val="{00000000-78B0-41E8-B16B-360418689F4C}"/>
            </c:ext>
          </c:extLst>
        </c:ser>
        <c:dLbls>
          <c:dLblPos val="t"/>
          <c:showLegendKey val="0"/>
          <c:showVal val="1"/>
          <c:showCatName val="0"/>
          <c:showSerName val="0"/>
          <c:showPercent val="0"/>
          <c:showBubbleSize val="0"/>
        </c:dLbls>
        <c:smooth val="0"/>
        <c:axId val="1453323328"/>
        <c:axId val="1302048336"/>
      </c:lineChart>
      <c:catAx>
        <c:axId val="145332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2048336"/>
        <c:crosses val="autoZero"/>
        <c:auto val="1"/>
        <c:lblAlgn val="ctr"/>
        <c:lblOffset val="100"/>
        <c:noMultiLvlLbl val="0"/>
      </c:catAx>
      <c:valAx>
        <c:axId val="1302048336"/>
        <c:scaling>
          <c:orientation val="minMax"/>
        </c:scaling>
        <c:delete val="1"/>
        <c:axPos val="l"/>
        <c:numFmt formatCode="#,##0.0" sourceLinked="1"/>
        <c:majorTickMark val="none"/>
        <c:minorTickMark val="none"/>
        <c:tickLblPos val="nextTo"/>
        <c:crossAx val="14533233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[Medicines Sales Dashboard.xlsx]PIVOT TABLES!PRODUCT</c:name>
    <c:fmtId val="5"/>
  </c:pivotSource>
  <c:chart>
    <c:title>
      <c:tx>
        <c:rich>
          <a:bodyPr rot="0" spcFirstLastPara="1" vertOverflow="ellipsis" vert="horz" wrap="square" anchor="ctr" anchorCtr="1"/>
          <a:lstStyle/>
          <a:p>
            <a:pPr algn="ctr" rtl="0">
              <a:defRPr lang="en-US" sz="1600" b="1" i="1" u="none" strike="noStrike" kern="1200" cap="all" spc="0" normalizeH="0" baseline="0">
                <a:solidFill>
                  <a:srgbClr val="FF0000"/>
                </a:solidFill>
                <a:latin typeface="+mn-lt"/>
                <a:ea typeface="+mn-ea"/>
                <a:cs typeface="+mn-cs"/>
              </a:defRPr>
            </a:pPr>
            <a:r>
              <a:rPr lang="en-US" sz="1600" b="1" i="1" u="none" strike="noStrike" kern="1200" spc="0" baseline="0">
                <a:solidFill>
                  <a:srgbClr val="FF0000"/>
                </a:solidFill>
                <a:latin typeface="+mn-lt"/>
                <a:ea typeface="+mn-ea"/>
                <a:cs typeface="+mn-cs"/>
              </a:rPr>
              <a:t>Productwise sales</a:t>
            </a:r>
          </a:p>
        </c:rich>
      </c:tx>
      <c:layout>
        <c:manualLayout>
          <c:xMode val="edge"/>
          <c:yMode val="edge"/>
          <c:x val="0.26057633420822396"/>
          <c:y val="0"/>
        </c:manualLayout>
      </c:layout>
      <c:overlay val="0"/>
      <c:spPr>
        <a:noFill/>
        <a:ln>
          <a:noFill/>
        </a:ln>
        <a:effectLst/>
      </c:spPr>
      <c:txPr>
        <a:bodyPr rot="0" spcFirstLastPara="1" vertOverflow="ellipsis" vert="horz" wrap="square" anchor="ctr" anchorCtr="1"/>
        <a:lstStyle/>
        <a:p>
          <a:pPr algn="ctr" rtl="0">
            <a:defRPr lang="en-US" sz="1600" b="1" i="1" u="none" strike="noStrike" kern="1200" cap="all" spc="0" normalizeH="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0">
              <a:spAutoFit/>
            </a:bodyPr>
            <a:lstStyle/>
            <a:p>
              <a:pPr algn="ctr" rtl="0">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2290155639268E-2"/>
          <c:y val="0.2714474975221759"/>
          <c:w val="0.86298818897637797"/>
          <c:h val="0.51227398658501022"/>
        </c:manualLayout>
      </c:layout>
      <c:barChart>
        <c:barDir val="col"/>
        <c:grouping val="clustered"/>
        <c:varyColors val="0"/>
        <c:ser>
          <c:idx val="0"/>
          <c:order val="0"/>
          <c:tx>
            <c:strRef>
              <c:f>'PIVOT TABLES'!$E$3</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0">
                <a:spAutoFit/>
              </a:bodyPr>
              <a:lstStyle/>
              <a:p>
                <a:pPr algn="ctr" rtl="0">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TABLES'!$D$4:$D$17</c:f>
              <c:strCache>
                <c:ptCount val="13"/>
                <c:pt idx="0">
                  <c:v>AMOXICILLIN</c:v>
                </c:pt>
                <c:pt idx="1">
                  <c:v>AZITHROMYCIN</c:v>
                </c:pt>
                <c:pt idx="2">
                  <c:v>CETRIZINE</c:v>
                </c:pt>
                <c:pt idx="3">
                  <c:v>GELUSIL</c:v>
                </c:pt>
                <c:pt idx="4">
                  <c:v>IBUPROFEN</c:v>
                </c:pt>
                <c:pt idx="5">
                  <c:v>MEFTAL SPAS</c:v>
                </c:pt>
                <c:pt idx="6">
                  <c:v>METFORMIN</c:v>
                </c:pt>
                <c:pt idx="7">
                  <c:v>MUPIROCIN</c:v>
                </c:pt>
                <c:pt idx="8">
                  <c:v>PANTOPRAZOLE</c:v>
                </c:pt>
                <c:pt idx="9">
                  <c:v>PARACETAMOL</c:v>
                </c:pt>
                <c:pt idx="10">
                  <c:v>POVIDONE</c:v>
                </c:pt>
                <c:pt idx="11">
                  <c:v>VITAMIN C</c:v>
                </c:pt>
                <c:pt idx="12">
                  <c:v>VITAMIN D3</c:v>
                </c:pt>
              </c:strCache>
            </c:strRef>
          </c:cat>
          <c:val>
            <c:numRef>
              <c:f>'PIVOT TABLES'!$E$4:$E$17</c:f>
              <c:numCache>
                <c:formatCode>#,##0.0</c:formatCode>
                <c:ptCount val="13"/>
                <c:pt idx="0">
                  <c:v>16400</c:v>
                </c:pt>
                <c:pt idx="1">
                  <c:v>45240</c:v>
                </c:pt>
                <c:pt idx="2">
                  <c:v>112000</c:v>
                </c:pt>
                <c:pt idx="3">
                  <c:v>196176</c:v>
                </c:pt>
                <c:pt idx="4">
                  <c:v>48000</c:v>
                </c:pt>
                <c:pt idx="5">
                  <c:v>237600</c:v>
                </c:pt>
                <c:pt idx="6">
                  <c:v>97200</c:v>
                </c:pt>
                <c:pt idx="7">
                  <c:v>11200</c:v>
                </c:pt>
                <c:pt idx="8">
                  <c:v>34818</c:v>
                </c:pt>
                <c:pt idx="9">
                  <c:v>178500</c:v>
                </c:pt>
                <c:pt idx="10">
                  <c:v>6300</c:v>
                </c:pt>
                <c:pt idx="11">
                  <c:v>12325</c:v>
                </c:pt>
                <c:pt idx="12">
                  <c:v>137600</c:v>
                </c:pt>
              </c:numCache>
            </c:numRef>
          </c:val>
          <c:extLst>
            <c:ext xmlns:c16="http://schemas.microsoft.com/office/drawing/2014/chart" uri="{C3380CC4-5D6E-409C-BE32-E72D297353CC}">
              <c16:uniqueId val="{00000000-0DAA-4216-9108-54488C214E4A}"/>
            </c:ext>
          </c:extLst>
        </c:ser>
        <c:dLbls>
          <c:dLblPos val="outEnd"/>
          <c:showLegendKey val="0"/>
          <c:showVal val="1"/>
          <c:showCatName val="0"/>
          <c:showSerName val="0"/>
          <c:showPercent val="0"/>
          <c:showBubbleSize val="0"/>
        </c:dLbls>
        <c:gapWidth val="444"/>
        <c:overlap val="-90"/>
        <c:axId val="1501496944"/>
        <c:axId val="1508820848"/>
      </c:barChart>
      <c:catAx>
        <c:axId val="150149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crossAx val="1508820848"/>
        <c:crosses val="autoZero"/>
        <c:auto val="1"/>
        <c:lblAlgn val="ctr"/>
        <c:lblOffset val="100"/>
        <c:noMultiLvlLbl val="0"/>
      </c:catAx>
      <c:valAx>
        <c:axId val="1508820848"/>
        <c:scaling>
          <c:orientation val="minMax"/>
        </c:scaling>
        <c:delete val="1"/>
        <c:axPos val="l"/>
        <c:numFmt formatCode="#,##0.0" sourceLinked="1"/>
        <c:majorTickMark val="none"/>
        <c:minorTickMark val="none"/>
        <c:tickLblPos val="nextTo"/>
        <c:crossAx val="150149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[Medicines Sales Dashboard.xlsx]PIVOT TABLES!SalesREP</c:name>
    <c:fmtId val="4"/>
  </c:pivotSource>
  <c:chart>
    <c:title>
      <c:tx>
        <c:rich>
          <a:bodyPr rot="0" spcFirstLastPara="1" vertOverflow="ellipsis" vert="horz" wrap="square" anchor="ctr" anchorCtr="1"/>
          <a:lstStyle/>
          <a:p>
            <a:pPr algn="ctr" rtl="0">
              <a:defRPr lang="en-US" sz="1600" b="1" i="1" u="none" strike="noStrike" kern="1200" cap="all" spc="0" normalizeH="0" baseline="0">
                <a:solidFill>
                  <a:srgbClr val="FF0000"/>
                </a:solidFill>
                <a:latin typeface="+mn-lt"/>
                <a:ea typeface="+mn-ea"/>
                <a:cs typeface="+mn-cs"/>
              </a:defRPr>
            </a:pPr>
            <a:r>
              <a:rPr lang="en-US" sz="1600" b="1" i="1" u="none" strike="noStrike" kern="1200" cap="all" spc="0" normalizeH="0" baseline="0">
                <a:solidFill>
                  <a:srgbClr val="FF0000"/>
                </a:solidFill>
                <a:latin typeface="+mn-lt"/>
                <a:ea typeface="+mn-ea"/>
                <a:cs typeface="+mn-cs"/>
              </a:rPr>
              <a:t>Sales by SalesRep</a:t>
            </a:r>
          </a:p>
        </c:rich>
      </c:tx>
      <c:overlay val="0"/>
      <c:spPr>
        <a:noFill/>
        <a:ln>
          <a:noFill/>
        </a:ln>
        <a:effectLst/>
      </c:spPr>
      <c:txPr>
        <a:bodyPr rot="0" spcFirstLastPara="1" vertOverflow="ellipsis" vert="horz" wrap="square" anchor="ctr" anchorCtr="1"/>
        <a:lstStyle/>
        <a:p>
          <a:pPr algn="ctr" rtl="0">
            <a:defRPr lang="en-US" sz="1600" b="1" i="1" u="none" strike="noStrike" kern="1200" cap="all" spc="0" normalizeH="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dLbl>
          <c:idx val="0"/>
          <c:layout>
            <c:manualLayout>
              <c:x val="9.9482057945316261E-17"/>
              <c:y val="2.9279279279279279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TABLES'!$G$4:$G$10</c:f>
              <c:strCache>
                <c:ptCount val="6"/>
                <c:pt idx="0">
                  <c:v>ASIF</c:v>
                </c:pt>
                <c:pt idx="1">
                  <c:v>KRISH</c:v>
                </c:pt>
                <c:pt idx="2">
                  <c:v>LAILA</c:v>
                </c:pt>
                <c:pt idx="3">
                  <c:v>RAJ</c:v>
                </c:pt>
                <c:pt idx="4">
                  <c:v>SANIKA</c:v>
                </c:pt>
                <c:pt idx="5">
                  <c:v>TARA</c:v>
                </c:pt>
              </c:strCache>
            </c:strRef>
          </c:cat>
          <c:val>
            <c:numRef>
              <c:f>'PIVOT TABLES'!$H$4:$H$10</c:f>
              <c:numCache>
                <c:formatCode>#,##0.0</c:formatCode>
                <c:ptCount val="6"/>
                <c:pt idx="0">
                  <c:v>86100</c:v>
                </c:pt>
                <c:pt idx="1">
                  <c:v>15600</c:v>
                </c:pt>
                <c:pt idx="2">
                  <c:v>305456</c:v>
                </c:pt>
                <c:pt idx="3">
                  <c:v>184945</c:v>
                </c:pt>
                <c:pt idx="4">
                  <c:v>311458</c:v>
                </c:pt>
                <c:pt idx="5">
                  <c:v>229800</c:v>
                </c:pt>
              </c:numCache>
            </c:numRef>
          </c:val>
          <c:extLst>
            <c:ext xmlns:c16="http://schemas.microsoft.com/office/drawing/2014/chart" uri="{C3380CC4-5D6E-409C-BE32-E72D297353CC}">
              <c16:uniqueId val="{00000000-C65E-44F4-B860-33991172BB0F}"/>
            </c:ext>
          </c:extLst>
        </c:ser>
        <c:dLbls>
          <c:dLblPos val="outEnd"/>
          <c:showLegendKey val="0"/>
          <c:showVal val="1"/>
          <c:showCatName val="0"/>
          <c:showSerName val="0"/>
          <c:showPercent val="0"/>
          <c:showBubbleSize val="0"/>
        </c:dLbls>
        <c:gapWidth val="182"/>
        <c:axId val="1501489984"/>
        <c:axId val="1508787728"/>
      </c:barChart>
      <c:catAx>
        <c:axId val="150148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crossAx val="1508787728"/>
        <c:crosses val="autoZero"/>
        <c:auto val="1"/>
        <c:lblAlgn val="ctr"/>
        <c:lblOffset val="100"/>
        <c:noMultiLvlLbl val="0"/>
      </c:catAx>
      <c:valAx>
        <c:axId val="150878772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50148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 Sales Dashboard.xlsx]PIVOT TABLES!CATEGORY</c:name>
    <c:fmtId val="3"/>
  </c:pivotSource>
  <c:chart>
    <c:title>
      <c:tx>
        <c:rich>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r>
              <a:rPr lang="en-US" sz="1600" b="1" i="1">
                <a:solidFill>
                  <a:srgbClr val="FF0000"/>
                </a:solidFill>
              </a:rPr>
              <a:t>Sales</a:t>
            </a:r>
            <a:r>
              <a:rPr lang="en-US" sz="1600" b="1" i="1" baseline="0">
                <a:solidFill>
                  <a:srgbClr val="FF0000"/>
                </a:solidFill>
              </a:rPr>
              <a:t> by Category</a:t>
            </a:r>
            <a:endParaRPr lang="en-US" sz="1600" b="1" i="1">
              <a:solidFill>
                <a:srgbClr val="FF0000"/>
              </a:solidFill>
            </a:endParaRP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4.959864391951006E-3"/>
              <c:y val="-5.8700422863808693E-2"/>
            </c:manualLayout>
          </c:layout>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dLbl>
          <c:idx val="0"/>
          <c:layout>
            <c:manualLayout>
              <c:x val="-4.959864391951006E-3"/>
              <c:y val="-5.8700422863808693E-2"/>
            </c:manualLayout>
          </c:layout>
          <c:spPr>
            <a:noFill/>
            <a:ln>
              <a:noFill/>
            </a:ln>
            <a:effectLst/>
          </c:spPr>
          <c:txPr>
            <a:bodyPr rot="0" spcFirstLastPara="1" vertOverflow="ellipsis" vert="horz" wrap="square" lIns="38100" tIns="19050" rIns="38100" bIns="19050" anchor="ctr" anchorCtr="1">
              <a:spAutoFit/>
            </a:bodyPr>
            <a:lstStyle/>
            <a:p>
              <a:pPr>
                <a:defRPr sz="91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dLbl>
          <c:idx val="0"/>
          <c:layout>
            <c:manualLayout>
              <c:x val="-4.959864391951006E-3"/>
              <c:y val="-5.87004228638086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dLbl>
          <c:idx val="0"/>
          <c:layout>
            <c:manualLayout>
              <c:x val="8.8585372686790023E-2"/>
              <c:y val="0.139657699037620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TABLES'!$K$3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1B1-4356-90F0-5EA6A0789F0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1B1-4356-90F0-5EA6A0789F06}"/>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1B1-4356-90F0-5EA6A0789F06}"/>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A1B1-4356-90F0-5EA6A0789F06}"/>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A1B1-4356-90F0-5EA6A0789F06}"/>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A1B1-4356-90F0-5EA6A0789F06}"/>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A1B1-4356-90F0-5EA6A0789F06}"/>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A1B1-4356-90F0-5EA6A0789F06}"/>
              </c:ext>
            </c:extLst>
          </c:dPt>
          <c:dLbls>
            <c:dLbl>
              <c:idx val="6"/>
              <c:layout>
                <c:manualLayout>
                  <c:x val="-4.959864391951006E-3"/>
                  <c:y val="-5.8700422863808693E-2"/>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1B1-4356-90F0-5EA6A0789F06}"/>
                </c:ext>
              </c:extLst>
            </c:dLbl>
            <c:dLbl>
              <c:idx val="7"/>
              <c:layout>
                <c:manualLayout>
                  <c:x val="8.8585372686790023E-2"/>
                  <c:y val="0.13965769903762026"/>
                </c:manualLayout>
              </c:layout>
              <c:dLblPos val="bestFi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1B1-4356-90F0-5EA6A0789F0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TABLES'!$J$4:$J$12</c:f>
              <c:strCache>
                <c:ptCount val="8"/>
                <c:pt idx="0">
                  <c:v>analgesic</c:v>
                </c:pt>
                <c:pt idx="1">
                  <c:v>antacids</c:v>
                </c:pt>
                <c:pt idx="2">
                  <c:v>antibacterial</c:v>
                </c:pt>
                <c:pt idx="3">
                  <c:v>antibiotic</c:v>
                </c:pt>
                <c:pt idx="4">
                  <c:v>antidiabetic</c:v>
                </c:pt>
                <c:pt idx="5">
                  <c:v>antihistamines</c:v>
                </c:pt>
                <c:pt idx="6">
                  <c:v>antipyretic</c:v>
                </c:pt>
                <c:pt idx="7">
                  <c:v>vitamins</c:v>
                </c:pt>
              </c:strCache>
            </c:strRef>
          </c:cat>
          <c:val>
            <c:numRef>
              <c:f>'PIVOT TABLES'!$K$4:$K$12</c:f>
              <c:numCache>
                <c:formatCode>#,##0.0</c:formatCode>
                <c:ptCount val="8"/>
                <c:pt idx="0">
                  <c:v>226500</c:v>
                </c:pt>
                <c:pt idx="1">
                  <c:v>230994</c:v>
                </c:pt>
                <c:pt idx="2">
                  <c:v>17500</c:v>
                </c:pt>
                <c:pt idx="3">
                  <c:v>61640</c:v>
                </c:pt>
                <c:pt idx="4">
                  <c:v>97200</c:v>
                </c:pt>
                <c:pt idx="5">
                  <c:v>112000</c:v>
                </c:pt>
                <c:pt idx="6">
                  <c:v>237600</c:v>
                </c:pt>
                <c:pt idx="7">
                  <c:v>149925</c:v>
                </c:pt>
              </c:numCache>
            </c:numRef>
          </c:val>
          <c:extLst>
            <c:ext xmlns:c16="http://schemas.microsoft.com/office/drawing/2014/chart" uri="{C3380CC4-5D6E-409C-BE32-E72D297353CC}">
              <c16:uniqueId val="{00000010-A1B1-4356-90F0-5EA6A0789F0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[Medicines Sales Dashboard.xlsx]PIVOT TABLES!MONTHS</c:name>
    <c:fmtId val="4"/>
  </c:pivotSource>
  <c:chart>
    <c:title>
      <c:tx>
        <c:rich>
          <a:bodyPr rot="0" spcFirstLastPara="1" vertOverflow="ellipsis" vert="horz" wrap="square" anchor="ctr" anchorCtr="1"/>
          <a:lstStyle/>
          <a:p>
            <a:pPr algn="ctr" rtl="0">
              <a:defRPr lang="en-US" sz="1600" b="1" i="1" u="none" strike="noStrike" kern="1200" cap="all" spc="0" normalizeH="0" baseline="0">
                <a:solidFill>
                  <a:srgbClr val="FF0000"/>
                </a:solidFill>
                <a:latin typeface="+mn-lt"/>
                <a:ea typeface="+mn-ea"/>
                <a:cs typeface="+mn-cs"/>
              </a:defRPr>
            </a:pPr>
            <a:r>
              <a:rPr lang="en-US" sz="1600" b="1" i="1" u="none" strike="noStrike" kern="1200" cap="all" spc="0" normalizeH="0" baseline="0">
                <a:solidFill>
                  <a:srgbClr val="FF0000"/>
                </a:solidFill>
                <a:latin typeface="+mn-lt"/>
                <a:ea typeface="+mn-ea"/>
                <a:cs typeface="+mn-cs"/>
              </a:rPr>
              <a:t>Monthly sales in 2026</a:t>
            </a:r>
          </a:p>
        </c:rich>
      </c:tx>
      <c:overlay val="0"/>
      <c:spPr>
        <a:noFill/>
        <a:ln>
          <a:noFill/>
        </a:ln>
        <a:effectLst/>
      </c:spPr>
      <c:txPr>
        <a:bodyPr rot="0" spcFirstLastPara="1" vertOverflow="ellipsis" vert="horz" wrap="square" anchor="ctr" anchorCtr="1"/>
        <a:lstStyle/>
        <a:p>
          <a:pPr algn="ctr" rtl="0">
            <a:defRPr lang="en-US" sz="1600" b="1" i="1" u="none" strike="noStrike" kern="1200" cap="all" spc="0" normalizeH="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clustered"/>
        <c:varyColors val="0"/>
        <c:ser>
          <c:idx val="0"/>
          <c:order val="0"/>
          <c:tx>
            <c:strRef>
              <c:f>'PIVOT TABLES'!$N$3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#,##0.0</c:formatCode>
                <c:ptCount val="12"/>
                <c:pt idx="0">
                  <c:v>1133359</c:v>
                </c:pt>
                <c:pt idx="1">
                  <c:v>966099</c:v>
                </c:pt>
                <c:pt idx="2">
                  <c:v>788605</c:v>
                </c:pt>
                <c:pt idx="3">
                  <c:v>1173710</c:v>
                </c:pt>
                <c:pt idx="4">
                  <c:v>949024</c:v>
                </c:pt>
                <c:pt idx="5">
                  <c:v>736159</c:v>
                </c:pt>
                <c:pt idx="6">
                  <c:v>1284337</c:v>
                </c:pt>
                <c:pt idx="7">
                  <c:v>912631</c:v>
                </c:pt>
                <c:pt idx="8">
                  <c:v>1175769</c:v>
                </c:pt>
                <c:pt idx="9">
                  <c:v>768844</c:v>
                </c:pt>
                <c:pt idx="10">
                  <c:v>900435</c:v>
                </c:pt>
                <c:pt idx="11">
                  <c:v>1198880</c:v>
                </c:pt>
              </c:numCache>
            </c:numRef>
          </c:val>
          <c:extLst>
            <c:ext xmlns:c16="http://schemas.microsoft.com/office/drawing/2014/chart" uri="{C3380CC4-5D6E-409C-BE32-E72D297353CC}">
              <c16:uniqueId val="{00000000-1BE8-42AA-94FE-5D3CB764E514}"/>
            </c:ext>
          </c:extLst>
        </c:ser>
        <c:dLbls>
          <c:dLblPos val="outEnd"/>
          <c:showLegendKey val="0"/>
          <c:showVal val="1"/>
          <c:showCatName val="0"/>
          <c:showSerName val="0"/>
          <c:showPercent val="0"/>
          <c:showBubbleSize val="0"/>
        </c:dLbls>
        <c:gapWidth val="182"/>
        <c:axId val="1610606144"/>
        <c:axId val="1508806448"/>
      </c:barChart>
      <c:catAx>
        <c:axId val="16106061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1" i="0" u="none" strike="noStrike" kern="1200" cap="all" spc="120" normalizeH="0" baseline="0">
                <a:solidFill>
                  <a:schemeClr val="tx1">
                    <a:lumMod val="65000"/>
                    <a:lumOff val="35000"/>
                  </a:schemeClr>
                </a:solidFill>
                <a:latin typeface="+mn-lt"/>
                <a:ea typeface="+mn-ea"/>
                <a:cs typeface="+mn-cs"/>
              </a:defRPr>
            </a:pPr>
            <a:endParaRPr lang="en-US"/>
          </a:p>
        </c:txPr>
        <c:crossAx val="1508806448"/>
        <c:crosses val="autoZero"/>
        <c:auto val="1"/>
        <c:lblAlgn val="ctr"/>
        <c:lblOffset val="100"/>
        <c:noMultiLvlLbl val="0"/>
      </c:catAx>
      <c:valAx>
        <c:axId val="1508806448"/>
        <c:scaling>
          <c:orientation val="minMax"/>
        </c:scaling>
        <c:delete val="0"/>
        <c:axPos val="t"/>
        <c:numFmt formatCode="#,##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161060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472440</xdr:colOff>
      <xdr:row>1</xdr:row>
      <xdr:rowOff>15240</xdr:rowOff>
    </xdr:from>
    <xdr:to>
      <xdr:col>14</xdr:col>
      <xdr:colOff>548640</xdr:colOff>
      <xdr:row>2</xdr:row>
      <xdr:rowOff>114300</xdr:rowOff>
    </xdr:to>
    <xdr:sp macro="" textlink="">
      <xdr:nvSpPr>
        <xdr:cNvPr id="2" name="TextBox 1">
          <a:extLst>
            <a:ext uri="{FF2B5EF4-FFF2-40B4-BE49-F238E27FC236}">
              <a16:creationId xmlns:a16="http://schemas.microsoft.com/office/drawing/2014/main" id="{AFFED679-9577-C579-70A1-3AE795634D8E}"/>
            </a:ext>
          </a:extLst>
        </xdr:cNvPr>
        <xdr:cNvSpPr txBox="1"/>
      </xdr:nvSpPr>
      <xdr:spPr>
        <a:xfrm>
          <a:off x="7338060" y="198120"/>
          <a:ext cx="312420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Times New Roman" panose="02020603050405020304" pitchFamily="18" charset="0"/>
              <a:cs typeface="Times New Roman" panose="02020603050405020304" pitchFamily="18" charset="0"/>
            </a:rPr>
            <a:t>Q. Data extraction using VLOOKUP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83820</xdr:colOff>
      <xdr:row>21</xdr:row>
      <xdr:rowOff>102870</xdr:rowOff>
    </xdr:from>
    <xdr:to>
      <xdr:col>10</xdr:col>
      <xdr:colOff>38100</xdr:colOff>
      <xdr:row>23</xdr:row>
      <xdr:rowOff>0</xdr:rowOff>
    </xdr:to>
    <xdr:sp macro="" textlink="">
      <xdr:nvSpPr>
        <xdr:cNvPr id="2" name="TextBox 1">
          <a:extLst>
            <a:ext uri="{FF2B5EF4-FFF2-40B4-BE49-F238E27FC236}">
              <a16:creationId xmlns:a16="http://schemas.microsoft.com/office/drawing/2014/main" id="{4A7AF3B1-5ABC-5AA1-1B22-E812560A4443}"/>
            </a:ext>
          </a:extLst>
        </xdr:cNvPr>
        <xdr:cNvSpPr txBox="1"/>
      </xdr:nvSpPr>
      <xdr:spPr>
        <a:xfrm>
          <a:off x="5120640" y="3943350"/>
          <a:ext cx="3291840" cy="262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Times New Roman" panose="02020603050405020304" pitchFamily="18" charset="0"/>
              <a:cs typeface="Times New Roman" panose="02020603050405020304" pitchFamily="18" charset="0"/>
            </a:rPr>
            <a:t>Q. Pivot Tables based upon the</a:t>
          </a:r>
          <a:r>
            <a:rPr lang="en-IN" sz="1200" b="1" baseline="0">
              <a:latin typeface="Times New Roman" panose="02020603050405020304" pitchFamily="18" charset="0"/>
              <a:cs typeface="Times New Roman" panose="02020603050405020304" pitchFamily="18" charset="0"/>
            </a:rPr>
            <a:t> above Dataset</a:t>
          </a:r>
          <a:endParaRPr lang="en-IN" sz="1200" b="1">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3628</xdr:colOff>
      <xdr:row>3</xdr:row>
      <xdr:rowOff>48985</xdr:rowOff>
    </xdr:from>
    <xdr:to>
      <xdr:col>17</xdr:col>
      <xdr:colOff>76200</xdr:colOff>
      <xdr:row>20</xdr:row>
      <xdr:rowOff>101600</xdr:rowOff>
    </xdr:to>
    <xdr:graphicFrame macro="">
      <xdr:nvGraphicFramePr>
        <xdr:cNvPr id="2" name="Chart 1">
          <a:extLst>
            <a:ext uri="{FF2B5EF4-FFF2-40B4-BE49-F238E27FC236}">
              <a16:creationId xmlns:a16="http://schemas.microsoft.com/office/drawing/2014/main" id="{379793EB-686B-46AF-A687-EDAA945E0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58057</xdr:colOff>
      <xdr:row>21</xdr:row>
      <xdr:rowOff>97970</xdr:rowOff>
    </xdr:from>
    <xdr:to>
      <xdr:col>16</xdr:col>
      <xdr:colOff>596900</xdr:colOff>
      <xdr:row>45</xdr:row>
      <xdr:rowOff>152399</xdr:rowOff>
    </xdr:to>
    <xdr:graphicFrame macro="">
      <xdr:nvGraphicFramePr>
        <xdr:cNvPr id="3" name="Chart 2">
          <a:extLst>
            <a:ext uri="{FF2B5EF4-FFF2-40B4-BE49-F238E27FC236}">
              <a16:creationId xmlns:a16="http://schemas.microsoft.com/office/drawing/2014/main" id="{20237D87-9844-45F6-AF6B-F0427BD55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380999</xdr:colOff>
      <xdr:row>5</xdr:row>
      <xdr:rowOff>76200</xdr:rowOff>
    </xdr:from>
    <xdr:to>
      <xdr:col>26</xdr:col>
      <xdr:colOff>469900</xdr:colOff>
      <xdr:row>40</xdr:row>
      <xdr:rowOff>114300</xdr:rowOff>
    </xdr:to>
    <xdr:graphicFrame macro="">
      <xdr:nvGraphicFramePr>
        <xdr:cNvPr id="4" name="Chart 3">
          <a:extLst>
            <a:ext uri="{FF2B5EF4-FFF2-40B4-BE49-F238E27FC236}">
              <a16:creationId xmlns:a16="http://schemas.microsoft.com/office/drawing/2014/main" id="{9FEFC1B6-4071-4E0B-A0FD-D2D5B2EDA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424542</xdr:colOff>
      <xdr:row>15</xdr:row>
      <xdr:rowOff>12700</xdr:rowOff>
    </xdr:from>
    <xdr:to>
      <xdr:col>7</xdr:col>
      <xdr:colOff>241299</xdr:colOff>
      <xdr:row>43</xdr:row>
      <xdr:rowOff>127000</xdr:rowOff>
    </xdr:to>
    <xdr:graphicFrame macro="">
      <xdr:nvGraphicFramePr>
        <xdr:cNvPr id="5" name="Chart 4">
          <a:extLst>
            <a:ext uri="{FF2B5EF4-FFF2-40B4-BE49-F238E27FC236}">
              <a16:creationId xmlns:a16="http://schemas.microsoft.com/office/drawing/2014/main" id="{2B8E8833-C079-4759-947A-DFD5A38B4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119744</xdr:colOff>
      <xdr:row>5</xdr:row>
      <xdr:rowOff>74385</xdr:rowOff>
    </xdr:from>
    <xdr:to>
      <xdr:col>36</xdr:col>
      <xdr:colOff>0</xdr:colOff>
      <xdr:row>40</xdr:row>
      <xdr:rowOff>139700</xdr:rowOff>
    </xdr:to>
    <xdr:graphicFrame macro="">
      <xdr:nvGraphicFramePr>
        <xdr:cNvPr id="6" name="Chart 5">
          <a:extLst>
            <a:ext uri="{FF2B5EF4-FFF2-40B4-BE49-F238E27FC236}">
              <a16:creationId xmlns:a16="http://schemas.microsoft.com/office/drawing/2014/main" id="{08722B30-04AB-4853-ACED-79B94E75DE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207915</xdr:colOff>
      <xdr:row>5</xdr:row>
      <xdr:rowOff>38100</xdr:rowOff>
    </xdr:from>
    <xdr:to>
      <xdr:col>6</xdr:col>
      <xdr:colOff>468084</xdr:colOff>
      <xdr:row>13</xdr:row>
      <xdr:rowOff>76200</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F3796E3F-1855-7020-AEB0-FFD88459ED2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17515" y="1041400"/>
              <a:ext cx="3308169" cy="146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refreshedDate="46221.833417824077" createdVersion="8" refreshedVersion="8" minRefreshableVersion="3" recordCount="349" xr:uid="{1E3A85A3-7E25-48A5-AD5B-45547B939798}">
  <cacheSource type="worksheet">
    <worksheetSource ref="B1:I350" sheet="SOURCE DATA"/>
  </cacheSource>
  <cacheFields count="10">
    <cacheField name="Date" numFmtId="14">
      <sharedItems containsSemiMixedTypes="0" containsNonDate="0" containsDate="1" containsString="0" minDate="2026-01-08T00:00:00" maxDate="2027-01-01T00:00:00" count="12">
        <d v="2026-01-08T00:00:00"/>
        <d v="2026-02-25T00:00:00"/>
        <d v="2026-03-10T00:00:00"/>
        <d v="2026-04-05T00:00:00"/>
        <d v="2026-05-18T00:00:00"/>
        <d v="2026-06-04T00:00:00"/>
        <d v="2026-07-19T00:00:00"/>
        <d v="2026-08-23T00:00:00"/>
        <d v="2026-09-25T00:00:00"/>
        <d v="2026-10-12T00:00:00"/>
        <d v="2026-11-03T00:00:00"/>
        <d v="2026-12-31T00:00:00"/>
      </sharedItems>
      <fieldGroup par="9"/>
    </cacheField>
    <cacheField name="Product" numFmtId="0">
      <sharedItems count="14">
        <s v="PARACETAMOL"/>
        <s v="PANTOPRAZOLE"/>
        <s v="GELUSIL"/>
        <s v="CETRIZINE"/>
        <s v="MEFTAL SPAS"/>
        <s v="VITAMIN C"/>
        <s v="POVIDONE"/>
        <s v="MUPIROCIN"/>
        <s v="METFORMIN"/>
        <s v="VITAMIN D3"/>
        <s v="AMOXICILLIN"/>
        <s v="AZITHROMYCIN"/>
        <s v="IBUPROFEN"/>
        <s v="VITAMIN DC"/>
      </sharedItems>
    </cacheField>
    <cacheField name="Category" numFmtId="0">
      <sharedItems count="8">
        <s v="analgesic"/>
        <s v="antacids"/>
        <s v="antihistamines"/>
        <s v="antipyretic"/>
        <s v="vitamins"/>
        <s v="antibacterial"/>
        <s v="antidiabetic"/>
        <s v="antibiotic"/>
      </sharedItems>
    </cacheField>
    <cacheField name="Sales Rep" numFmtId="0">
      <sharedItems count="14">
        <s v="TARA"/>
        <s v="SANIKA"/>
        <s v="ASIF"/>
        <s v="RAJ"/>
        <s v="LAILA"/>
        <s v="KRISH"/>
        <s v="OM"/>
        <s v="NEEL"/>
        <s v="MIHIKA"/>
        <s v="YASH"/>
        <s v="JASMINE"/>
        <s v="ISHA"/>
        <s v="PREM"/>
        <s v="VISHAL"/>
      </sharedItems>
    </cacheField>
    <cacheField name="City" numFmtId="0">
      <sharedItems count="7">
        <s v="BANGLORE"/>
        <s v="PUNE"/>
        <s v="HYDERABAD"/>
        <s v="MUMBAI"/>
        <s v="CHENNAI"/>
        <s v="NAGPUR"/>
        <s v="DELHI"/>
      </sharedItems>
    </cacheField>
    <cacheField name="No. of units" numFmtId="0">
      <sharedItems containsSemiMixedTypes="0" containsString="0" containsNumber="1" containsInteger="1" minValue="1" maxValue="77"/>
    </cacheField>
    <cacheField name="Price" numFmtId="164">
      <sharedItems containsSemiMixedTypes="0" containsString="0" containsNumber="1" containsInteger="1" minValue="300" maxValue="33200"/>
    </cacheField>
    <cacheField name="Amount" numFmtId="164">
      <sharedItems containsSemiMixedTypes="0" containsString="0" containsNumber="1" containsInteger="1" minValue="800" maxValue="498000"/>
    </cacheField>
    <cacheField name="Days (Date)" numFmtId="0" databaseField="0">
      <fieldGroup base="0">
        <rangePr groupBy="days" startDate="2026-01-08T00:00:00" endDate="2027-01-01T00:00:00"/>
        <groupItems count="368">
          <s v="&lt;08-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0">
        <rangePr groupBy="months" startDate="2026-01-08T00:00:00" endDate="2027-01-01T00:00:00"/>
        <groupItems count="14">
          <s v="&lt;08-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679480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x v="0"/>
    <x v="0"/>
    <x v="0"/>
    <x v="0"/>
    <x v="0"/>
    <n v="30"/>
    <n v="2100"/>
    <n v="63000"/>
  </r>
  <r>
    <x v="0"/>
    <x v="1"/>
    <x v="1"/>
    <x v="1"/>
    <x v="1"/>
    <n v="6"/>
    <n v="1658"/>
    <n v="9948"/>
  </r>
  <r>
    <x v="0"/>
    <x v="2"/>
    <x v="1"/>
    <x v="1"/>
    <x v="1"/>
    <n v="45"/>
    <n v="3216"/>
    <n v="144720"/>
  </r>
  <r>
    <x v="0"/>
    <x v="3"/>
    <x v="2"/>
    <x v="2"/>
    <x v="2"/>
    <n v="22"/>
    <n v="1400"/>
    <n v="30800"/>
  </r>
  <r>
    <x v="0"/>
    <x v="3"/>
    <x v="2"/>
    <x v="3"/>
    <x v="3"/>
    <n v="8"/>
    <n v="1400"/>
    <n v="11200"/>
  </r>
  <r>
    <x v="0"/>
    <x v="0"/>
    <x v="0"/>
    <x v="3"/>
    <x v="3"/>
    <n v="9"/>
    <n v="2100"/>
    <n v="18900"/>
  </r>
  <r>
    <x v="0"/>
    <x v="4"/>
    <x v="3"/>
    <x v="3"/>
    <x v="3"/>
    <n v="14"/>
    <n v="5400"/>
    <n v="75600"/>
  </r>
  <r>
    <x v="0"/>
    <x v="5"/>
    <x v="4"/>
    <x v="3"/>
    <x v="3"/>
    <n v="15"/>
    <n v="425"/>
    <n v="6375"/>
  </r>
  <r>
    <x v="0"/>
    <x v="6"/>
    <x v="5"/>
    <x v="2"/>
    <x v="2"/>
    <n v="6"/>
    <n v="300"/>
    <n v="1800"/>
  </r>
  <r>
    <x v="0"/>
    <x v="7"/>
    <x v="5"/>
    <x v="2"/>
    <x v="2"/>
    <n v="7"/>
    <n v="1600"/>
    <n v="11200"/>
  </r>
  <r>
    <x v="0"/>
    <x v="6"/>
    <x v="5"/>
    <x v="2"/>
    <x v="2"/>
    <n v="15"/>
    <n v="300"/>
    <n v="4500"/>
  </r>
  <r>
    <x v="0"/>
    <x v="8"/>
    <x v="6"/>
    <x v="2"/>
    <x v="2"/>
    <n v="35"/>
    <n v="1080"/>
    <n v="37800"/>
  </r>
  <r>
    <x v="0"/>
    <x v="0"/>
    <x v="0"/>
    <x v="0"/>
    <x v="0"/>
    <n v="10"/>
    <n v="2100"/>
    <n v="21000"/>
  </r>
  <r>
    <x v="0"/>
    <x v="8"/>
    <x v="6"/>
    <x v="0"/>
    <x v="0"/>
    <n v="55"/>
    <n v="1080"/>
    <n v="59400"/>
  </r>
  <r>
    <x v="0"/>
    <x v="9"/>
    <x v="4"/>
    <x v="0"/>
    <x v="0"/>
    <n v="27"/>
    <n v="3200"/>
    <n v="86400"/>
  </r>
  <r>
    <x v="0"/>
    <x v="0"/>
    <x v="0"/>
    <x v="4"/>
    <x v="4"/>
    <n v="36"/>
    <n v="2100"/>
    <n v="75600"/>
  </r>
  <r>
    <x v="0"/>
    <x v="2"/>
    <x v="1"/>
    <x v="4"/>
    <x v="4"/>
    <n v="16"/>
    <n v="3216"/>
    <n v="51456"/>
  </r>
  <r>
    <x v="0"/>
    <x v="4"/>
    <x v="3"/>
    <x v="4"/>
    <x v="4"/>
    <n v="30"/>
    <n v="5400"/>
    <n v="162000"/>
  </r>
  <r>
    <x v="0"/>
    <x v="10"/>
    <x v="7"/>
    <x v="4"/>
    <x v="4"/>
    <n v="41"/>
    <n v="400"/>
    <n v="16400"/>
  </r>
  <r>
    <x v="0"/>
    <x v="3"/>
    <x v="2"/>
    <x v="1"/>
    <x v="1"/>
    <n v="50"/>
    <n v="1400"/>
    <n v="70000"/>
  </r>
  <r>
    <x v="0"/>
    <x v="5"/>
    <x v="4"/>
    <x v="1"/>
    <x v="1"/>
    <n v="14"/>
    <n v="425"/>
    <n v="5950"/>
  </r>
  <r>
    <x v="0"/>
    <x v="9"/>
    <x v="4"/>
    <x v="1"/>
    <x v="1"/>
    <n v="16"/>
    <n v="3200"/>
    <n v="51200"/>
  </r>
  <r>
    <x v="0"/>
    <x v="11"/>
    <x v="7"/>
    <x v="1"/>
    <x v="1"/>
    <n v="19"/>
    <n v="1560"/>
    <n v="29640"/>
  </r>
  <r>
    <x v="0"/>
    <x v="12"/>
    <x v="0"/>
    <x v="3"/>
    <x v="3"/>
    <n v="26"/>
    <n v="800"/>
    <n v="20800"/>
  </r>
  <r>
    <x v="0"/>
    <x v="12"/>
    <x v="0"/>
    <x v="3"/>
    <x v="3"/>
    <n v="34"/>
    <n v="800"/>
    <n v="27200"/>
  </r>
  <r>
    <x v="0"/>
    <x v="1"/>
    <x v="1"/>
    <x v="3"/>
    <x v="3"/>
    <n v="15"/>
    <n v="1658"/>
    <n v="24870"/>
  </r>
  <r>
    <x v="0"/>
    <x v="11"/>
    <x v="7"/>
    <x v="5"/>
    <x v="0"/>
    <n v="10"/>
    <n v="1560"/>
    <n v="15600"/>
  </r>
  <r>
    <x v="1"/>
    <x v="0"/>
    <x v="0"/>
    <x v="6"/>
    <x v="5"/>
    <n v="20"/>
    <n v="2100"/>
    <n v="42000"/>
  </r>
  <r>
    <x v="1"/>
    <x v="0"/>
    <x v="0"/>
    <x v="6"/>
    <x v="5"/>
    <n v="23"/>
    <n v="2100"/>
    <n v="48300"/>
  </r>
  <r>
    <x v="1"/>
    <x v="3"/>
    <x v="2"/>
    <x v="6"/>
    <x v="5"/>
    <n v="55"/>
    <n v="1400"/>
    <n v="77000"/>
  </r>
  <r>
    <x v="1"/>
    <x v="3"/>
    <x v="2"/>
    <x v="7"/>
    <x v="5"/>
    <n v="14"/>
    <n v="1400"/>
    <n v="19600"/>
  </r>
  <r>
    <x v="1"/>
    <x v="3"/>
    <x v="2"/>
    <x v="4"/>
    <x v="4"/>
    <n v="16"/>
    <n v="1400"/>
    <n v="22400"/>
  </r>
  <r>
    <x v="1"/>
    <x v="0"/>
    <x v="0"/>
    <x v="4"/>
    <x v="4"/>
    <n v="9"/>
    <n v="2100"/>
    <n v="18900"/>
  </r>
  <r>
    <x v="1"/>
    <x v="4"/>
    <x v="3"/>
    <x v="7"/>
    <x v="5"/>
    <n v="18"/>
    <n v="5400"/>
    <n v="97200"/>
  </r>
  <r>
    <x v="1"/>
    <x v="4"/>
    <x v="3"/>
    <x v="8"/>
    <x v="4"/>
    <n v="6"/>
    <n v="5400"/>
    <n v="32400"/>
  </r>
  <r>
    <x v="1"/>
    <x v="6"/>
    <x v="5"/>
    <x v="7"/>
    <x v="5"/>
    <n v="30"/>
    <n v="300"/>
    <n v="9000"/>
  </r>
  <r>
    <x v="1"/>
    <x v="7"/>
    <x v="5"/>
    <x v="7"/>
    <x v="5"/>
    <n v="17"/>
    <n v="1600"/>
    <n v="27200"/>
  </r>
  <r>
    <x v="1"/>
    <x v="6"/>
    <x v="5"/>
    <x v="7"/>
    <x v="5"/>
    <n v="9"/>
    <n v="300"/>
    <n v="2700"/>
  </r>
  <r>
    <x v="1"/>
    <x v="8"/>
    <x v="6"/>
    <x v="9"/>
    <x v="2"/>
    <n v="22"/>
    <n v="1080"/>
    <n v="23760"/>
  </r>
  <r>
    <x v="1"/>
    <x v="0"/>
    <x v="0"/>
    <x v="9"/>
    <x v="2"/>
    <n v="16"/>
    <n v="2100"/>
    <n v="33600"/>
  </r>
  <r>
    <x v="1"/>
    <x v="8"/>
    <x v="6"/>
    <x v="5"/>
    <x v="0"/>
    <n v="4"/>
    <n v="1080"/>
    <n v="4320"/>
  </r>
  <r>
    <x v="1"/>
    <x v="9"/>
    <x v="4"/>
    <x v="5"/>
    <x v="0"/>
    <n v="53"/>
    <n v="3200"/>
    <n v="169600"/>
  </r>
  <r>
    <x v="1"/>
    <x v="0"/>
    <x v="0"/>
    <x v="5"/>
    <x v="0"/>
    <n v="13"/>
    <n v="2100"/>
    <n v="27300"/>
  </r>
  <r>
    <x v="1"/>
    <x v="7"/>
    <x v="5"/>
    <x v="10"/>
    <x v="6"/>
    <n v="7"/>
    <n v="1600"/>
    <n v="11200"/>
  </r>
  <r>
    <x v="1"/>
    <x v="4"/>
    <x v="3"/>
    <x v="10"/>
    <x v="6"/>
    <n v="20"/>
    <n v="5400"/>
    <n v="108000"/>
  </r>
  <r>
    <x v="1"/>
    <x v="7"/>
    <x v="5"/>
    <x v="10"/>
    <x v="6"/>
    <n v="25"/>
    <n v="1600"/>
    <n v="40000"/>
  </r>
  <r>
    <x v="1"/>
    <x v="3"/>
    <x v="2"/>
    <x v="4"/>
    <x v="4"/>
    <n v="13"/>
    <n v="1400"/>
    <n v="18200"/>
  </r>
  <r>
    <x v="1"/>
    <x v="5"/>
    <x v="4"/>
    <x v="4"/>
    <x v="4"/>
    <n v="11"/>
    <n v="425"/>
    <n v="4675"/>
  </r>
  <r>
    <x v="1"/>
    <x v="9"/>
    <x v="4"/>
    <x v="11"/>
    <x v="6"/>
    <n v="10"/>
    <n v="3200"/>
    <n v="32000"/>
  </r>
  <r>
    <x v="1"/>
    <x v="11"/>
    <x v="7"/>
    <x v="11"/>
    <x v="6"/>
    <n v="5"/>
    <n v="1560"/>
    <n v="7800"/>
  </r>
  <r>
    <x v="1"/>
    <x v="12"/>
    <x v="0"/>
    <x v="1"/>
    <x v="1"/>
    <n v="14"/>
    <n v="800"/>
    <n v="11200"/>
  </r>
  <r>
    <x v="1"/>
    <x v="12"/>
    <x v="0"/>
    <x v="1"/>
    <x v="1"/>
    <n v="6"/>
    <n v="800"/>
    <n v="4800"/>
  </r>
  <r>
    <x v="1"/>
    <x v="1"/>
    <x v="1"/>
    <x v="6"/>
    <x v="5"/>
    <n v="28"/>
    <n v="1658"/>
    <n v="46424"/>
  </r>
  <r>
    <x v="1"/>
    <x v="11"/>
    <x v="7"/>
    <x v="6"/>
    <x v="5"/>
    <n v="17"/>
    <n v="1560"/>
    <n v="26520"/>
  </r>
  <r>
    <x v="2"/>
    <x v="12"/>
    <x v="0"/>
    <x v="12"/>
    <x v="1"/>
    <n v="30"/>
    <n v="800"/>
    <n v="24000"/>
  </r>
  <r>
    <x v="2"/>
    <x v="1"/>
    <x v="1"/>
    <x v="12"/>
    <x v="1"/>
    <n v="15"/>
    <n v="1658"/>
    <n v="24870"/>
  </r>
  <r>
    <x v="2"/>
    <x v="11"/>
    <x v="7"/>
    <x v="12"/>
    <x v="1"/>
    <n v="12"/>
    <n v="1560"/>
    <n v="18720"/>
  </r>
  <r>
    <x v="2"/>
    <x v="0"/>
    <x v="0"/>
    <x v="11"/>
    <x v="6"/>
    <n v="41"/>
    <n v="2100"/>
    <n v="86100"/>
  </r>
  <r>
    <x v="2"/>
    <x v="0"/>
    <x v="0"/>
    <x v="11"/>
    <x v="6"/>
    <n v="30"/>
    <n v="2100"/>
    <n v="63000"/>
  </r>
  <r>
    <x v="2"/>
    <x v="3"/>
    <x v="2"/>
    <x v="2"/>
    <x v="2"/>
    <n v="16"/>
    <n v="1400"/>
    <n v="22400"/>
  </r>
  <r>
    <x v="2"/>
    <x v="3"/>
    <x v="2"/>
    <x v="2"/>
    <x v="2"/>
    <n v="5"/>
    <n v="1400"/>
    <n v="7000"/>
  </r>
  <r>
    <x v="2"/>
    <x v="3"/>
    <x v="2"/>
    <x v="2"/>
    <x v="2"/>
    <n v="29"/>
    <n v="1400"/>
    <n v="40600"/>
  </r>
  <r>
    <x v="2"/>
    <x v="0"/>
    <x v="0"/>
    <x v="12"/>
    <x v="1"/>
    <n v="22"/>
    <n v="2100"/>
    <n v="46200"/>
  </r>
  <r>
    <x v="2"/>
    <x v="4"/>
    <x v="3"/>
    <x v="6"/>
    <x v="5"/>
    <n v="8"/>
    <n v="5400"/>
    <n v="43200"/>
  </r>
  <r>
    <x v="2"/>
    <x v="4"/>
    <x v="3"/>
    <x v="6"/>
    <x v="5"/>
    <n v="20"/>
    <n v="5400"/>
    <n v="108000"/>
  </r>
  <r>
    <x v="2"/>
    <x v="6"/>
    <x v="5"/>
    <x v="0"/>
    <x v="0"/>
    <n v="15"/>
    <n v="300"/>
    <n v="4500"/>
  </r>
  <r>
    <x v="2"/>
    <x v="7"/>
    <x v="5"/>
    <x v="0"/>
    <x v="0"/>
    <n v="33"/>
    <n v="1600"/>
    <n v="52800"/>
  </r>
  <r>
    <x v="2"/>
    <x v="6"/>
    <x v="5"/>
    <x v="0"/>
    <x v="0"/>
    <n v="3"/>
    <n v="300"/>
    <n v="900"/>
  </r>
  <r>
    <x v="2"/>
    <x v="8"/>
    <x v="6"/>
    <x v="0"/>
    <x v="0"/>
    <n v="14"/>
    <n v="1080"/>
    <n v="15120"/>
  </r>
  <r>
    <x v="2"/>
    <x v="0"/>
    <x v="0"/>
    <x v="11"/>
    <x v="6"/>
    <n v="8"/>
    <n v="2100"/>
    <n v="16800"/>
  </r>
  <r>
    <x v="2"/>
    <x v="8"/>
    <x v="6"/>
    <x v="11"/>
    <x v="6"/>
    <n v="19"/>
    <n v="1080"/>
    <n v="20520"/>
  </r>
  <r>
    <x v="2"/>
    <x v="9"/>
    <x v="4"/>
    <x v="12"/>
    <x v="1"/>
    <n v="6"/>
    <n v="3200"/>
    <n v="19200"/>
  </r>
  <r>
    <x v="2"/>
    <x v="0"/>
    <x v="0"/>
    <x v="12"/>
    <x v="1"/>
    <n v="15"/>
    <n v="2100"/>
    <n v="31500"/>
  </r>
  <r>
    <x v="2"/>
    <x v="7"/>
    <x v="5"/>
    <x v="7"/>
    <x v="5"/>
    <n v="14"/>
    <n v="1600"/>
    <n v="22400"/>
  </r>
  <r>
    <x v="2"/>
    <x v="4"/>
    <x v="3"/>
    <x v="7"/>
    <x v="5"/>
    <n v="16"/>
    <n v="5400"/>
    <n v="86400"/>
  </r>
  <r>
    <x v="2"/>
    <x v="7"/>
    <x v="5"/>
    <x v="2"/>
    <x v="2"/>
    <n v="1"/>
    <n v="1600"/>
    <n v="1600"/>
  </r>
  <r>
    <x v="2"/>
    <x v="3"/>
    <x v="2"/>
    <x v="2"/>
    <x v="2"/>
    <n v="12"/>
    <n v="1400"/>
    <n v="16800"/>
  </r>
  <r>
    <x v="2"/>
    <x v="6"/>
    <x v="5"/>
    <x v="6"/>
    <x v="5"/>
    <n v="3"/>
    <n v="3200"/>
    <n v="9600"/>
  </r>
  <r>
    <x v="2"/>
    <x v="5"/>
    <x v="4"/>
    <x v="6"/>
    <x v="5"/>
    <n v="15"/>
    <n v="425"/>
    <n v="6375"/>
  </r>
  <r>
    <x v="3"/>
    <x v="8"/>
    <x v="6"/>
    <x v="11"/>
    <x v="6"/>
    <n v="30"/>
    <n v="1080"/>
    <n v="32400"/>
  </r>
  <r>
    <x v="3"/>
    <x v="0"/>
    <x v="0"/>
    <x v="11"/>
    <x v="6"/>
    <n v="36"/>
    <n v="2100"/>
    <n v="75600"/>
  </r>
  <r>
    <x v="3"/>
    <x v="8"/>
    <x v="6"/>
    <x v="12"/>
    <x v="1"/>
    <n v="15"/>
    <n v="1080"/>
    <n v="16200"/>
  </r>
  <r>
    <x v="3"/>
    <x v="9"/>
    <x v="4"/>
    <x v="12"/>
    <x v="1"/>
    <n v="10"/>
    <n v="3200"/>
    <n v="32000"/>
  </r>
  <r>
    <x v="3"/>
    <x v="0"/>
    <x v="0"/>
    <x v="12"/>
    <x v="1"/>
    <n v="22"/>
    <n v="2100"/>
    <n v="46200"/>
  </r>
  <r>
    <x v="3"/>
    <x v="7"/>
    <x v="5"/>
    <x v="12"/>
    <x v="1"/>
    <n v="24"/>
    <n v="1600"/>
    <n v="38400"/>
  </r>
  <r>
    <x v="3"/>
    <x v="4"/>
    <x v="3"/>
    <x v="1"/>
    <x v="1"/>
    <n v="23"/>
    <n v="5400"/>
    <n v="124200"/>
  </r>
  <r>
    <x v="3"/>
    <x v="7"/>
    <x v="5"/>
    <x v="1"/>
    <x v="1"/>
    <n v="19"/>
    <n v="1600"/>
    <n v="30400"/>
  </r>
  <r>
    <x v="3"/>
    <x v="3"/>
    <x v="2"/>
    <x v="1"/>
    <x v="1"/>
    <n v="16"/>
    <n v="1400"/>
    <n v="22400"/>
  </r>
  <r>
    <x v="3"/>
    <x v="5"/>
    <x v="4"/>
    <x v="7"/>
    <x v="5"/>
    <n v="6"/>
    <n v="425"/>
    <n v="2550"/>
  </r>
  <r>
    <x v="3"/>
    <x v="9"/>
    <x v="4"/>
    <x v="7"/>
    <x v="5"/>
    <n v="8"/>
    <n v="3200"/>
    <n v="25600"/>
  </r>
  <r>
    <x v="3"/>
    <x v="11"/>
    <x v="7"/>
    <x v="3"/>
    <x v="3"/>
    <n v="50"/>
    <n v="1560"/>
    <n v="78000"/>
  </r>
  <r>
    <x v="3"/>
    <x v="12"/>
    <x v="0"/>
    <x v="3"/>
    <x v="3"/>
    <n v="8"/>
    <n v="800"/>
    <n v="6400"/>
  </r>
  <r>
    <x v="3"/>
    <x v="12"/>
    <x v="0"/>
    <x v="3"/>
    <x v="3"/>
    <n v="13"/>
    <n v="800"/>
    <n v="10400"/>
  </r>
  <r>
    <x v="3"/>
    <x v="1"/>
    <x v="1"/>
    <x v="3"/>
    <x v="3"/>
    <n v="12"/>
    <n v="1658"/>
    <n v="19896"/>
  </r>
  <r>
    <x v="3"/>
    <x v="11"/>
    <x v="7"/>
    <x v="2"/>
    <x v="2"/>
    <n v="20"/>
    <n v="1560"/>
    <n v="31200"/>
  </r>
  <r>
    <x v="3"/>
    <x v="12"/>
    <x v="0"/>
    <x v="10"/>
    <x v="6"/>
    <n v="23"/>
    <n v="800"/>
    <n v="18400"/>
  </r>
  <r>
    <x v="3"/>
    <x v="1"/>
    <x v="1"/>
    <x v="10"/>
    <x v="6"/>
    <n v="22"/>
    <n v="1658"/>
    <n v="36476"/>
  </r>
  <r>
    <x v="3"/>
    <x v="11"/>
    <x v="7"/>
    <x v="9"/>
    <x v="2"/>
    <n v="24"/>
    <n v="1560"/>
    <n v="37440"/>
  </r>
  <r>
    <x v="3"/>
    <x v="0"/>
    <x v="0"/>
    <x v="9"/>
    <x v="2"/>
    <n v="30"/>
    <n v="2100"/>
    <n v="63000"/>
  </r>
  <r>
    <x v="3"/>
    <x v="0"/>
    <x v="0"/>
    <x v="9"/>
    <x v="2"/>
    <n v="35"/>
    <n v="2100"/>
    <n v="73500"/>
  </r>
  <r>
    <x v="3"/>
    <x v="3"/>
    <x v="2"/>
    <x v="13"/>
    <x v="3"/>
    <n v="10"/>
    <n v="1400"/>
    <n v="14000"/>
  </r>
  <r>
    <x v="3"/>
    <x v="3"/>
    <x v="2"/>
    <x v="13"/>
    <x v="3"/>
    <n v="77"/>
    <n v="1400"/>
    <n v="107800"/>
  </r>
  <r>
    <x v="3"/>
    <x v="3"/>
    <x v="2"/>
    <x v="8"/>
    <x v="4"/>
    <n v="15"/>
    <n v="1400"/>
    <n v="21000"/>
  </r>
  <r>
    <x v="3"/>
    <x v="0"/>
    <x v="0"/>
    <x v="8"/>
    <x v="4"/>
    <n v="14"/>
    <n v="2100"/>
    <n v="29400"/>
  </r>
  <r>
    <x v="3"/>
    <x v="4"/>
    <x v="3"/>
    <x v="8"/>
    <x v="4"/>
    <n v="16"/>
    <n v="5400"/>
    <n v="86400"/>
  </r>
  <r>
    <x v="3"/>
    <x v="0"/>
    <x v="0"/>
    <x v="4"/>
    <x v="4"/>
    <n v="11"/>
    <n v="2100"/>
    <n v="23100"/>
  </r>
  <r>
    <x v="3"/>
    <x v="1"/>
    <x v="1"/>
    <x v="4"/>
    <x v="4"/>
    <n v="10"/>
    <n v="1658"/>
    <n v="16580"/>
  </r>
  <r>
    <x v="3"/>
    <x v="8"/>
    <x v="6"/>
    <x v="6"/>
    <x v="5"/>
    <n v="12"/>
    <n v="1080"/>
    <n v="12960"/>
  </r>
  <r>
    <x v="3"/>
    <x v="2"/>
    <x v="1"/>
    <x v="6"/>
    <x v="5"/>
    <n v="13"/>
    <n v="3216"/>
    <n v="41808"/>
  </r>
  <r>
    <x v="4"/>
    <x v="2"/>
    <x v="1"/>
    <x v="13"/>
    <x v="3"/>
    <n v="9"/>
    <n v="3216"/>
    <n v="28944"/>
  </r>
  <r>
    <x v="4"/>
    <x v="4"/>
    <x v="3"/>
    <x v="13"/>
    <x v="3"/>
    <n v="26"/>
    <n v="5400"/>
    <n v="140400"/>
  </r>
  <r>
    <x v="4"/>
    <x v="10"/>
    <x v="7"/>
    <x v="8"/>
    <x v="4"/>
    <n v="2"/>
    <n v="400"/>
    <n v="800"/>
  </r>
  <r>
    <x v="4"/>
    <x v="3"/>
    <x v="2"/>
    <x v="8"/>
    <x v="4"/>
    <n v="35"/>
    <n v="1400"/>
    <n v="49000"/>
  </r>
  <r>
    <x v="4"/>
    <x v="5"/>
    <x v="4"/>
    <x v="12"/>
    <x v="1"/>
    <n v="14"/>
    <n v="425"/>
    <n v="5950"/>
  </r>
  <r>
    <x v="4"/>
    <x v="9"/>
    <x v="4"/>
    <x v="12"/>
    <x v="1"/>
    <n v="22"/>
    <n v="3200"/>
    <n v="70400"/>
  </r>
  <r>
    <x v="4"/>
    <x v="11"/>
    <x v="7"/>
    <x v="3"/>
    <x v="3"/>
    <n v="28"/>
    <n v="1560"/>
    <n v="43680"/>
  </r>
  <r>
    <x v="4"/>
    <x v="12"/>
    <x v="0"/>
    <x v="3"/>
    <x v="3"/>
    <n v="9"/>
    <n v="800"/>
    <n v="7200"/>
  </r>
  <r>
    <x v="4"/>
    <x v="12"/>
    <x v="0"/>
    <x v="3"/>
    <x v="3"/>
    <n v="18"/>
    <n v="800"/>
    <n v="14400"/>
  </r>
  <r>
    <x v="4"/>
    <x v="1"/>
    <x v="1"/>
    <x v="2"/>
    <x v="2"/>
    <n v="26"/>
    <n v="1658"/>
    <n v="43108"/>
  </r>
  <r>
    <x v="4"/>
    <x v="11"/>
    <x v="7"/>
    <x v="2"/>
    <x v="2"/>
    <n v="35"/>
    <n v="1560"/>
    <n v="54600"/>
  </r>
  <r>
    <x v="4"/>
    <x v="0"/>
    <x v="0"/>
    <x v="11"/>
    <x v="6"/>
    <n v="11"/>
    <n v="2100"/>
    <n v="23100"/>
  </r>
  <r>
    <x v="4"/>
    <x v="0"/>
    <x v="0"/>
    <x v="11"/>
    <x v="6"/>
    <n v="14"/>
    <n v="2100"/>
    <n v="29400"/>
  </r>
  <r>
    <x v="4"/>
    <x v="3"/>
    <x v="2"/>
    <x v="10"/>
    <x v="6"/>
    <n v="22"/>
    <n v="1400"/>
    <n v="30800"/>
  </r>
  <r>
    <x v="4"/>
    <x v="3"/>
    <x v="2"/>
    <x v="10"/>
    <x v="6"/>
    <n v="20"/>
    <n v="1400"/>
    <n v="28000"/>
  </r>
  <r>
    <x v="4"/>
    <x v="3"/>
    <x v="2"/>
    <x v="10"/>
    <x v="6"/>
    <n v="4"/>
    <n v="1400"/>
    <n v="5600"/>
  </r>
  <r>
    <x v="4"/>
    <x v="0"/>
    <x v="0"/>
    <x v="10"/>
    <x v="6"/>
    <n v="15"/>
    <n v="2100"/>
    <n v="31500"/>
  </r>
  <r>
    <x v="4"/>
    <x v="2"/>
    <x v="1"/>
    <x v="12"/>
    <x v="1"/>
    <n v="30"/>
    <n v="3216"/>
    <n v="96480"/>
  </r>
  <r>
    <x v="4"/>
    <x v="1"/>
    <x v="1"/>
    <x v="12"/>
    <x v="1"/>
    <n v="29"/>
    <n v="1658"/>
    <n v="48082"/>
  </r>
  <r>
    <x v="4"/>
    <x v="0"/>
    <x v="0"/>
    <x v="4"/>
    <x v="4"/>
    <n v="17"/>
    <n v="2100"/>
    <n v="35700"/>
  </r>
  <r>
    <x v="4"/>
    <x v="3"/>
    <x v="2"/>
    <x v="4"/>
    <x v="4"/>
    <n v="13"/>
    <n v="1400"/>
    <n v="18200"/>
  </r>
  <r>
    <x v="4"/>
    <x v="13"/>
    <x v="4"/>
    <x v="1"/>
    <x v="1"/>
    <n v="20"/>
    <n v="3200"/>
    <n v="64000"/>
  </r>
  <r>
    <x v="4"/>
    <x v="10"/>
    <x v="7"/>
    <x v="1"/>
    <x v="1"/>
    <n v="15"/>
    <n v="400"/>
    <n v="6000"/>
  </r>
  <r>
    <x v="4"/>
    <x v="12"/>
    <x v="0"/>
    <x v="4"/>
    <x v="4"/>
    <n v="12"/>
    <n v="800"/>
    <n v="9600"/>
  </r>
  <r>
    <x v="4"/>
    <x v="7"/>
    <x v="5"/>
    <x v="6"/>
    <x v="5"/>
    <n v="30"/>
    <n v="1600"/>
    <n v="48000"/>
  </r>
  <r>
    <x v="4"/>
    <x v="8"/>
    <x v="6"/>
    <x v="6"/>
    <x v="5"/>
    <n v="6"/>
    <n v="1080"/>
    <n v="6480"/>
  </r>
  <r>
    <x v="4"/>
    <x v="6"/>
    <x v="5"/>
    <x v="7"/>
    <x v="5"/>
    <n v="32"/>
    <n v="300"/>
    <n v="9600"/>
  </r>
  <r>
    <x v="5"/>
    <x v="7"/>
    <x v="5"/>
    <x v="0"/>
    <x v="0"/>
    <n v="16"/>
    <n v="1600"/>
    <n v="25600"/>
  </r>
  <r>
    <x v="5"/>
    <x v="4"/>
    <x v="3"/>
    <x v="0"/>
    <x v="0"/>
    <n v="7"/>
    <n v="5400"/>
    <n v="37800"/>
  </r>
  <r>
    <x v="5"/>
    <x v="7"/>
    <x v="5"/>
    <x v="0"/>
    <x v="0"/>
    <n v="10"/>
    <n v="1600"/>
    <n v="16000"/>
  </r>
  <r>
    <x v="5"/>
    <x v="3"/>
    <x v="2"/>
    <x v="5"/>
    <x v="0"/>
    <n v="6"/>
    <n v="1400"/>
    <n v="8400"/>
  </r>
  <r>
    <x v="5"/>
    <x v="5"/>
    <x v="4"/>
    <x v="5"/>
    <x v="0"/>
    <n v="35"/>
    <n v="425"/>
    <n v="14875"/>
  </r>
  <r>
    <x v="5"/>
    <x v="9"/>
    <x v="4"/>
    <x v="9"/>
    <x v="2"/>
    <n v="12"/>
    <n v="3200"/>
    <n v="38400"/>
  </r>
  <r>
    <x v="5"/>
    <x v="11"/>
    <x v="7"/>
    <x v="9"/>
    <x v="2"/>
    <n v="14"/>
    <n v="1560"/>
    <n v="21840"/>
  </r>
  <r>
    <x v="5"/>
    <x v="12"/>
    <x v="0"/>
    <x v="9"/>
    <x v="2"/>
    <n v="9"/>
    <n v="800"/>
    <n v="7200"/>
  </r>
  <r>
    <x v="5"/>
    <x v="12"/>
    <x v="0"/>
    <x v="11"/>
    <x v="6"/>
    <n v="15"/>
    <n v="800"/>
    <n v="12000"/>
  </r>
  <r>
    <x v="5"/>
    <x v="1"/>
    <x v="1"/>
    <x v="11"/>
    <x v="6"/>
    <n v="10"/>
    <n v="1658"/>
    <n v="16580"/>
  </r>
  <r>
    <x v="5"/>
    <x v="11"/>
    <x v="7"/>
    <x v="11"/>
    <x v="6"/>
    <n v="2"/>
    <n v="1560"/>
    <n v="3120"/>
  </r>
  <r>
    <x v="5"/>
    <x v="12"/>
    <x v="0"/>
    <x v="0"/>
    <x v="0"/>
    <n v="13"/>
    <n v="800"/>
    <n v="10400"/>
  </r>
  <r>
    <x v="5"/>
    <x v="1"/>
    <x v="1"/>
    <x v="0"/>
    <x v="0"/>
    <n v="30"/>
    <n v="1658"/>
    <n v="49740"/>
  </r>
  <r>
    <x v="5"/>
    <x v="11"/>
    <x v="7"/>
    <x v="5"/>
    <x v="0"/>
    <n v="26"/>
    <n v="1560"/>
    <n v="40560"/>
  </r>
  <r>
    <x v="5"/>
    <x v="0"/>
    <x v="0"/>
    <x v="5"/>
    <x v="0"/>
    <n v="21"/>
    <n v="2100"/>
    <n v="44100"/>
  </r>
  <r>
    <x v="5"/>
    <x v="0"/>
    <x v="0"/>
    <x v="11"/>
    <x v="6"/>
    <n v="11"/>
    <n v="2100"/>
    <n v="23100"/>
  </r>
  <r>
    <x v="5"/>
    <x v="4"/>
    <x v="3"/>
    <x v="11"/>
    <x v="6"/>
    <n v="34"/>
    <n v="5400"/>
    <n v="183600"/>
  </r>
  <r>
    <x v="5"/>
    <x v="12"/>
    <x v="0"/>
    <x v="6"/>
    <x v="5"/>
    <n v="14"/>
    <n v="800"/>
    <n v="11200"/>
  </r>
  <r>
    <x v="5"/>
    <x v="3"/>
    <x v="2"/>
    <x v="6"/>
    <x v="5"/>
    <n v="25"/>
    <n v="1400"/>
    <n v="35000"/>
  </r>
  <r>
    <x v="5"/>
    <x v="3"/>
    <x v="2"/>
    <x v="6"/>
    <x v="5"/>
    <n v="9"/>
    <n v="1400"/>
    <n v="12600"/>
  </r>
  <r>
    <x v="5"/>
    <x v="10"/>
    <x v="7"/>
    <x v="0"/>
    <x v="0"/>
    <n v="17"/>
    <n v="400"/>
    <n v="6800"/>
  </r>
  <r>
    <x v="5"/>
    <x v="1"/>
    <x v="1"/>
    <x v="0"/>
    <x v="0"/>
    <n v="33"/>
    <n v="1658"/>
    <n v="54714"/>
  </r>
  <r>
    <x v="5"/>
    <x v="8"/>
    <x v="6"/>
    <x v="9"/>
    <x v="2"/>
    <n v="20"/>
    <n v="1080"/>
    <n v="21600"/>
  </r>
  <r>
    <x v="5"/>
    <x v="0"/>
    <x v="0"/>
    <x v="9"/>
    <x v="2"/>
    <n v="9"/>
    <n v="2100"/>
    <n v="18900"/>
  </r>
  <r>
    <x v="5"/>
    <x v="5"/>
    <x v="4"/>
    <x v="11"/>
    <x v="6"/>
    <n v="14"/>
    <n v="425"/>
    <n v="5950"/>
  </r>
  <r>
    <x v="5"/>
    <x v="2"/>
    <x v="1"/>
    <x v="6"/>
    <x v="5"/>
    <n v="5"/>
    <n v="3216"/>
    <n v="16080"/>
  </r>
  <r>
    <x v="6"/>
    <x v="3"/>
    <x v="2"/>
    <x v="1"/>
    <x v="1"/>
    <n v="23"/>
    <n v="1400"/>
    <n v="32200"/>
  </r>
  <r>
    <x v="6"/>
    <x v="6"/>
    <x v="5"/>
    <x v="1"/>
    <x v="1"/>
    <n v="16"/>
    <n v="300"/>
    <n v="4800"/>
  </r>
  <r>
    <x v="6"/>
    <x v="5"/>
    <x v="4"/>
    <x v="8"/>
    <x v="4"/>
    <n v="10"/>
    <n v="425"/>
    <n v="4250"/>
  </r>
  <r>
    <x v="6"/>
    <x v="8"/>
    <x v="6"/>
    <x v="8"/>
    <x v="4"/>
    <n v="5"/>
    <n v="1080"/>
    <n v="5400"/>
  </r>
  <r>
    <x v="6"/>
    <x v="0"/>
    <x v="0"/>
    <x v="8"/>
    <x v="4"/>
    <n v="8"/>
    <n v="2100"/>
    <n v="16800"/>
  </r>
  <r>
    <x v="6"/>
    <x v="8"/>
    <x v="6"/>
    <x v="12"/>
    <x v="1"/>
    <n v="50"/>
    <n v="1080"/>
    <n v="54000"/>
  </r>
  <r>
    <x v="6"/>
    <x v="9"/>
    <x v="4"/>
    <x v="12"/>
    <x v="1"/>
    <n v="31"/>
    <n v="3200"/>
    <n v="99200"/>
  </r>
  <r>
    <x v="6"/>
    <x v="0"/>
    <x v="0"/>
    <x v="3"/>
    <x v="3"/>
    <n v="14"/>
    <n v="2100"/>
    <n v="29400"/>
  </r>
  <r>
    <x v="6"/>
    <x v="7"/>
    <x v="5"/>
    <x v="3"/>
    <x v="3"/>
    <n v="2"/>
    <n v="1600"/>
    <n v="3200"/>
  </r>
  <r>
    <x v="6"/>
    <x v="4"/>
    <x v="3"/>
    <x v="3"/>
    <x v="3"/>
    <n v="26"/>
    <n v="5400"/>
    <n v="140400"/>
  </r>
  <r>
    <x v="6"/>
    <x v="7"/>
    <x v="5"/>
    <x v="2"/>
    <x v="2"/>
    <n v="25"/>
    <n v="1600"/>
    <n v="40000"/>
  </r>
  <r>
    <x v="6"/>
    <x v="3"/>
    <x v="2"/>
    <x v="2"/>
    <x v="2"/>
    <n v="9"/>
    <n v="1400"/>
    <n v="12600"/>
  </r>
  <r>
    <x v="6"/>
    <x v="5"/>
    <x v="4"/>
    <x v="1"/>
    <x v="1"/>
    <n v="5"/>
    <n v="425"/>
    <n v="2125"/>
  </r>
  <r>
    <x v="6"/>
    <x v="9"/>
    <x v="4"/>
    <x v="2"/>
    <x v="2"/>
    <n v="14"/>
    <n v="3200"/>
    <n v="44800"/>
  </r>
  <r>
    <x v="6"/>
    <x v="10"/>
    <x v="7"/>
    <x v="13"/>
    <x v="3"/>
    <n v="23"/>
    <n v="400"/>
    <n v="9200"/>
  </r>
  <r>
    <x v="6"/>
    <x v="12"/>
    <x v="0"/>
    <x v="13"/>
    <x v="3"/>
    <n v="15"/>
    <n v="800"/>
    <n v="12000"/>
  </r>
  <r>
    <x v="6"/>
    <x v="12"/>
    <x v="0"/>
    <x v="13"/>
    <x v="3"/>
    <n v="24"/>
    <n v="800"/>
    <n v="19200"/>
  </r>
  <r>
    <x v="6"/>
    <x v="1"/>
    <x v="1"/>
    <x v="4"/>
    <x v="4"/>
    <n v="10"/>
    <n v="1658"/>
    <n v="16580"/>
  </r>
  <r>
    <x v="6"/>
    <x v="11"/>
    <x v="7"/>
    <x v="4"/>
    <x v="4"/>
    <n v="11"/>
    <n v="1560"/>
    <n v="17160"/>
  </r>
  <r>
    <x v="6"/>
    <x v="12"/>
    <x v="0"/>
    <x v="6"/>
    <x v="5"/>
    <n v="9"/>
    <n v="800"/>
    <n v="7200"/>
  </r>
  <r>
    <x v="6"/>
    <x v="1"/>
    <x v="1"/>
    <x v="6"/>
    <x v="5"/>
    <n v="35"/>
    <n v="1658"/>
    <n v="58030"/>
  </r>
  <r>
    <x v="6"/>
    <x v="6"/>
    <x v="5"/>
    <x v="6"/>
    <x v="5"/>
    <n v="14"/>
    <n v="300"/>
    <n v="4200"/>
  </r>
  <r>
    <x v="6"/>
    <x v="0"/>
    <x v="0"/>
    <x v="6"/>
    <x v="5"/>
    <n v="17"/>
    <n v="2100"/>
    <n v="35700"/>
  </r>
  <r>
    <x v="6"/>
    <x v="0"/>
    <x v="0"/>
    <x v="11"/>
    <x v="6"/>
    <n v="13"/>
    <n v="2100"/>
    <n v="27300"/>
  </r>
  <r>
    <x v="6"/>
    <x v="3"/>
    <x v="2"/>
    <x v="11"/>
    <x v="6"/>
    <n v="55"/>
    <n v="1400"/>
    <n v="77000"/>
  </r>
  <r>
    <x v="6"/>
    <x v="3"/>
    <x v="2"/>
    <x v="11"/>
    <x v="6"/>
    <n v="26"/>
    <n v="1400"/>
    <n v="36400"/>
  </r>
  <r>
    <x v="6"/>
    <x v="2"/>
    <x v="1"/>
    <x v="3"/>
    <x v="3"/>
    <n v="8"/>
    <n v="3216"/>
    <n v="25728"/>
  </r>
  <r>
    <x v="6"/>
    <x v="0"/>
    <x v="0"/>
    <x v="3"/>
    <x v="3"/>
    <n v="20"/>
    <n v="2100"/>
    <n v="42000"/>
  </r>
  <r>
    <x v="6"/>
    <x v="4"/>
    <x v="3"/>
    <x v="7"/>
    <x v="5"/>
    <n v="14"/>
    <n v="5400"/>
    <n v="75600"/>
  </r>
  <r>
    <x v="6"/>
    <x v="0"/>
    <x v="0"/>
    <x v="7"/>
    <x v="5"/>
    <n v="32"/>
    <n v="2100"/>
    <n v="67200"/>
  </r>
  <r>
    <x v="6"/>
    <x v="1"/>
    <x v="1"/>
    <x v="7"/>
    <x v="5"/>
    <n v="12"/>
    <n v="1658"/>
    <n v="19896"/>
  </r>
  <r>
    <x v="6"/>
    <x v="8"/>
    <x v="6"/>
    <x v="7"/>
    <x v="5"/>
    <n v="16"/>
    <n v="1080"/>
    <n v="17280"/>
  </r>
  <r>
    <x v="6"/>
    <x v="2"/>
    <x v="1"/>
    <x v="0"/>
    <x v="0"/>
    <n v="14"/>
    <n v="3216"/>
    <n v="45024"/>
  </r>
  <r>
    <x v="6"/>
    <x v="2"/>
    <x v="1"/>
    <x v="5"/>
    <x v="0"/>
    <n v="4"/>
    <n v="3216"/>
    <n v="12864"/>
  </r>
  <r>
    <x v="6"/>
    <x v="4"/>
    <x v="3"/>
    <x v="5"/>
    <x v="0"/>
    <n v="26"/>
    <n v="5400"/>
    <n v="140400"/>
  </r>
  <r>
    <x v="6"/>
    <x v="10"/>
    <x v="7"/>
    <x v="5"/>
    <x v="0"/>
    <n v="10"/>
    <n v="400"/>
    <n v="4000"/>
  </r>
  <r>
    <x v="6"/>
    <x v="3"/>
    <x v="2"/>
    <x v="5"/>
    <x v="0"/>
    <n v="18"/>
    <n v="1400"/>
    <n v="25200"/>
  </r>
  <r>
    <x v="7"/>
    <x v="4"/>
    <x v="3"/>
    <x v="9"/>
    <x v="2"/>
    <n v="25"/>
    <n v="5400"/>
    <n v="135000"/>
  </r>
  <r>
    <x v="7"/>
    <x v="7"/>
    <x v="5"/>
    <x v="9"/>
    <x v="2"/>
    <n v="15"/>
    <n v="1600"/>
    <n v="24000"/>
  </r>
  <r>
    <x v="7"/>
    <x v="3"/>
    <x v="2"/>
    <x v="9"/>
    <x v="2"/>
    <n v="20"/>
    <n v="1400"/>
    <n v="28000"/>
  </r>
  <r>
    <x v="7"/>
    <x v="6"/>
    <x v="5"/>
    <x v="6"/>
    <x v="5"/>
    <n v="8"/>
    <n v="300"/>
    <n v="2400"/>
  </r>
  <r>
    <x v="7"/>
    <x v="5"/>
    <x v="4"/>
    <x v="6"/>
    <x v="5"/>
    <n v="17"/>
    <n v="425"/>
    <n v="7225"/>
  </r>
  <r>
    <x v="7"/>
    <x v="8"/>
    <x v="6"/>
    <x v="8"/>
    <x v="4"/>
    <n v="12"/>
    <n v="1080"/>
    <n v="12960"/>
  </r>
  <r>
    <x v="7"/>
    <x v="0"/>
    <x v="0"/>
    <x v="8"/>
    <x v="4"/>
    <n v="30"/>
    <n v="2100"/>
    <n v="63000"/>
  </r>
  <r>
    <x v="7"/>
    <x v="8"/>
    <x v="6"/>
    <x v="8"/>
    <x v="4"/>
    <n v="6"/>
    <n v="1080"/>
    <n v="6480"/>
  </r>
  <r>
    <x v="7"/>
    <x v="9"/>
    <x v="4"/>
    <x v="3"/>
    <x v="3"/>
    <n v="50"/>
    <n v="3200"/>
    <n v="160000"/>
  </r>
  <r>
    <x v="7"/>
    <x v="0"/>
    <x v="0"/>
    <x v="3"/>
    <x v="3"/>
    <n v="1"/>
    <n v="2100"/>
    <n v="2100"/>
  </r>
  <r>
    <x v="7"/>
    <x v="7"/>
    <x v="5"/>
    <x v="2"/>
    <x v="2"/>
    <n v="8"/>
    <n v="1600"/>
    <n v="12800"/>
  </r>
  <r>
    <x v="7"/>
    <x v="4"/>
    <x v="3"/>
    <x v="2"/>
    <x v="2"/>
    <n v="13"/>
    <n v="5400"/>
    <n v="70200"/>
  </r>
  <r>
    <x v="7"/>
    <x v="7"/>
    <x v="5"/>
    <x v="2"/>
    <x v="2"/>
    <n v="20"/>
    <n v="1600"/>
    <n v="32000"/>
  </r>
  <r>
    <x v="7"/>
    <x v="3"/>
    <x v="2"/>
    <x v="1"/>
    <x v="1"/>
    <n v="15"/>
    <n v="1400"/>
    <n v="21000"/>
  </r>
  <r>
    <x v="7"/>
    <x v="5"/>
    <x v="4"/>
    <x v="1"/>
    <x v="1"/>
    <n v="28"/>
    <n v="425"/>
    <n v="11900"/>
  </r>
  <r>
    <x v="7"/>
    <x v="9"/>
    <x v="4"/>
    <x v="1"/>
    <x v="1"/>
    <n v="26"/>
    <n v="3200"/>
    <n v="83200"/>
  </r>
  <r>
    <x v="7"/>
    <x v="11"/>
    <x v="7"/>
    <x v="13"/>
    <x v="3"/>
    <n v="21"/>
    <n v="1560"/>
    <n v="32760"/>
  </r>
  <r>
    <x v="7"/>
    <x v="12"/>
    <x v="0"/>
    <x v="13"/>
    <x v="3"/>
    <n v="9"/>
    <n v="800"/>
    <n v="7200"/>
  </r>
  <r>
    <x v="7"/>
    <x v="12"/>
    <x v="0"/>
    <x v="12"/>
    <x v="1"/>
    <n v="12"/>
    <n v="800"/>
    <n v="9600"/>
  </r>
  <r>
    <x v="7"/>
    <x v="1"/>
    <x v="1"/>
    <x v="11"/>
    <x v="6"/>
    <n v="11"/>
    <n v="1658"/>
    <n v="18238"/>
  </r>
  <r>
    <x v="7"/>
    <x v="11"/>
    <x v="7"/>
    <x v="11"/>
    <x v="6"/>
    <n v="30"/>
    <n v="1560"/>
    <n v="46800"/>
  </r>
  <r>
    <x v="7"/>
    <x v="12"/>
    <x v="0"/>
    <x v="1"/>
    <x v="1"/>
    <n v="23"/>
    <n v="800"/>
    <n v="18400"/>
  </r>
  <r>
    <x v="7"/>
    <x v="1"/>
    <x v="1"/>
    <x v="7"/>
    <x v="5"/>
    <n v="26"/>
    <n v="1658"/>
    <n v="43108"/>
  </r>
  <r>
    <x v="7"/>
    <x v="11"/>
    <x v="7"/>
    <x v="7"/>
    <x v="5"/>
    <n v="8"/>
    <n v="1560"/>
    <n v="12480"/>
  </r>
  <r>
    <x v="7"/>
    <x v="0"/>
    <x v="0"/>
    <x v="10"/>
    <x v="6"/>
    <n v="17"/>
    <n v="2100"/>
    <n v="35700"/>
  </r>
  <r>
    <x v="7"/>
    <x v="2"/>
    <x v="1"/>
    <x v="10"/>
    <x v="6"/>
    <n v="5"/>
    <n v="3216"/>
    <n v="16080"/>
  </r>
  <r>
    <x v="8"/>
    <x v="3"/>
    <x v="2"/>
    <x v="11"/>
    <x v="6"/>
    <n v="27"/>
    <n v="1400"/>
    <n v="37800"/>
  </r>
  <r>
    <x v="8"/>
    <x v="0"/>
    <x v="0"/>
    <x v="11"/>
    <x v="6"/>
    <n v="16"/>
    <n v="2100"/>
    <n v="33600"/>
  </r>
  <r>
    <x v="8"/>
    <x v="4"/>
    <x v="3"/>
    <x v="11"/>
    <x v="6"/>
    <n v="18"/>
    <n v="5400"/>
    <n v="97200"/>
  </r>
  <r>
    <x v="8"/>
    <x v="4"/>
    <x v="3"/>
    <x v="6"/>
    <x v="5"/>
    <n v="13"/>
    <n v="5400"/>
    <n v="70200"/>
  </r>
  <r>
    <x v="8"/>
    <x v="6"/>
    <x v="5"/>
    <x v="5"/>
    <x v="0"/>
    <n v="7"/>
    <n v="300"/>
    <n v="2100"/>
  </r>
  <r>
    <x v="8"/>
    <x v="7"/>
    <x v="5"/>
    <x v="5"/>
    <x v="0"/>
    <n v="6"/>
    <n v="1600"/>
    <n v="9600"/>
  </r>
  <r>
    <x v="8"/>
    <x v="6"/>
    <x v="5"/>
    <x v="5"/>
    <x v="0"/>
    <n v="15"/>
    <n v="300"/>
    <n v="4500"/>
  </r>
  <r>
    <x v="8"/>
    <x v="8"/>
    <x v="6"/>
    <x v="4"/>
    <x v="4"/>
    <n v="20"/>
    <n v="1080"/>
    <n v="21600"/>
  </r>
  <r>
    <x v="8"/>
    <x v="0"/>
    <x v="0"/>
    <x v="4"/>
    <x v="4"/>
    <n v="10"/>
    <n v="2100"/>
    <n v="21000"/>
  </r>
  <r>
    <x v="8"/>
    <x v="8"/>
    <x v="6"/>
    <x v="12"/>
    <x v="1"/>
    <n v="1"/>
    <n v="1080"/>
    <n v="1080"/>
  </r>
  <r>
    <x v="8"/>
    <x v="9"/>
    <x v="4"/>
    <x v="12"/>
    <x v="1"/>
    <n v="15"/>
    <n v="33200"/>
    <n v="498000"/>
  </r>
  <r>
    <x v="8"/>
    <x v="0"/>
    <x v="0"/>
    <x v="6"/>
    <x v="5"/>
    <n v="8"/>
    <n v="2100"/>
    <n v="16800"/>
  </r>
  <r>
    <x v="8"/>
    <x v="7"/>
    <x v="5"/>
    <x v="6"/>
    <x v="5"/>
    <n v="4"/>
    <n v="1600"/>
    <n v="6400"/>
  </r>
  <r>
    <x v="8"/>
    <x v="4"/>
    <x v="3"/>
    <x v="1"/>
    <x v="1"/>
    <n v="16"/>
    <n v="5400"/>
    <n v="86400"/>
  </r>
  <r>
    <x v="8"/>
    <x v="7"/>
    <x v="5"/>
    <x v="2"/>
    <x v="2"/>
    <n v="23"/>
    <n v="1600"/>
    <n v="36800"/>
  </r>
  <r>
    <x v="8"/>
    <x v="3"/>
    <x v="2"/>
    <x v="2"/>
    <x v="2"/>
    <n v="30"/>
    <n v="1400"/>
    <n v="42000"/>
  </r>
  <r>
    <x v="8"/>
    <x v="5"/>
    <x v="4"/>
    <x v="3"/>
    <x v="3"/>
    <n v="9"/>
    <n v="425"/>
    <n v="3825"/>
  </r>
  <r>
    <x v="8"/>
    <x v="9"/>
    <x v="4"/>
    <x v="3"/>
    <x v="3"/>
    <n v="16"/>
    <n v="3200"/>
    <n v="51200"/>
  </r>
  <r>
    <x v="8"/>
    <x v="11"/>
    <x v="7"/>
    <x v="13"/>
    <x v="3"/>
    <n v="14"/>
    <n v="1560"/>
    <n v="21840"/>
  </r>
  <r>
    <x v="8"/>
    <x v="12"/>
    <x v="0"/>
    <x v="8"/>
    <x v="4"/>
    <n v="2"/>
    <n v="800"/>
    <n v="1600"/>
  </r>
  <r>
    <x v="8"/>
    <x v="12"/>
    <x v="0"/>
    <x v="8"/>
    <x v="4"/>
    <n v="13"/>
    <n v="800"/>
    <n v="10400"/>
  </r>
  <r>
    <x v="8"/>
    <x v="1"/>
    <x v="1"/>
    <x v="8"/>
    <x v="4"/>
    <n v="28"/>
    <n v="1658"/>
    <n v="46424"/>
  </r>
  <r>
    <x v="8"/>
    <x v="11"/>
    <x v="7"/>
    <x v="13"/>
    <x v="3"/>
    <n v="15"/>
    <n v="1560"/>
    <n v="23400"/>
  </r>
  <r>
    <x v="8"/>
    <x v="12"/>
    <x v="0"/>
    <x v="13"/>
    <x v="3"/>
    <n v="40"/>
    <n v="800"/>
    <n v="32000"/>
  </r>
  <r>
    <x v="9"/>
    <x v="0"/>
    <x v="0"/>
    <x v="1"/>
    <x v="1"/>
    <n v="10"/>
    <n v="2100"/>
    <n v="21000"/>
  </r>
  <r>
    <x v="9"/>
    <x v="3"/>
    <x v="2"/>
    <x v="1"/>
    <x v="1"/>
    <n v="12"/>
    <n v="1400"/>
    <n v="16800"/>
  </r>
  <r>
    <x v="9"/>
    <x v="13"/>
    <x v="4"/>
    <x v="3"/>
    <x v="3"/>
    <n v="14"/>
    <n v="3200"/>
    <n v="44800"/>
  </r>
  <r>
    <x v="9"/>
    <x v="10"/>
    <x v="7"/>
    <x v="3"/>
    <x v="3"/>
    <n v="5"/>
    <n v="400"/>
    <n v="2000"/>
  </r>
  <r>
    <x v="9"/>
    <x v="12"/>
    <x v="0"/>
    <x v="7"/>
    <x v="5"/>
    <n v="6"/>
    <n v="800"/>
    <n v="4800"/>
  </r>
  <r>
    <x v="9"/>
    <x v="7"/>
    <x v="5"/>
    <x v="7"/>
    <x v="5"/>
    <n v="25"/>
    <n v="1600"/>
    <n v="40000"/>
  </r>
  <r>
    <x v="9"/>
    <x v="8"/>
    <x v="6"/>
    <x v="7"/>
    <x v="5"/>
    <n v="30"/>
    <n v="1080"/>
    <n v="32400"/>
  </r>
  <r>
    <x v="9"/>
    <x v="6"/>
    <x v="5"/>
    <x v="6"/>
    <x v="5"/>
    <n v="4"/>
    <n v="300"/>
    <n v="1200"/>
  </r>
  <r>
    <x v="9"/>
    <x v="7"/>
    <x v="5"/>
    <x v="12"/>
    <x v="1"/>
    <n v="8"/>
    <n v="1600"/>
    <n v="12800"/>
  </r>
  <r>
    <x v="9"/>
    <x v="4"/>
    <x v="3"/>
    <x v="11"/>
    <x v="6"/>
    <n v="15"/>
    <n v="5400"/>
    <n v="81000"/>
  </r>
  <r>
    <x v="9"/>
    <x v="7"/>
    <x v="5"/>
    <x v="5"/>
    <x v="0"/>
    <n v="14"/>
    <n v="1600"/>
    <n v="22400"/>
  </r>
  <r>
    <x v="9"/>
    <x v="3"/>
    <x v="2"/>
    <x v="5"/>
    <x v="0"/>
    <n v="5"/>
    <n v="1400"/>
    <n v="7000"/>
  </r>
  <r>
    <x v="9"/>
    <x v="5"/>
    <x v="4"/>
    <x v="3"/>
    <x v="3"/>
    <n v="12"/>
    <n v="425"/>
    <n v="5100"/>
  </r>
  <r>
    <x v="9"/>
    <x v="9"/>
    <x v="4"/>
    <x v="3"/>
    <x v="3"/>
    <n v="30"/>
    <n v="3200"/>
    <n v="96000"/>
  </r>
  <r>
    <x v="9"/>
    <x v="11"/>
    <x v="7"/>
    <x v="1"/>
    <x v="1"/>
    <n v="6"/>
    <n v="1560"/>
    <n v="9360"/>
  </r>
  <r>
    <x v="9"/>
    <x v="12"/>
    <x v="0"/>
    <x v="13"/>
    <x v="3"/>
    <n v="2"/>
    <n v="800"/>
    <n v="1600"/>
  </r>
  <r>
    <x v="9"/>
    <x v="12"/>
    <x v="0"/>
    <x v="13"/>
    <x v="3"/>
    <n v="32"/>
    <n v="800"/>
    <n v="25600"/>
  </r>
  <r>
    <x v="9"/>
    <x v="1"/>
    <x v="1"/>
    <x v="12"/>
    <x v="1"/>
    <n v="20"/>
    <n v="1658"/>
    <n v="33160"/>
  </r>
  <r>
    <x v="9"/>
    <x v="11"/>
    <x v="7"/>
    <x v="12"/>
    <x v="1"/>
    <n v="4"/>
    <n v="1560"/>
    <n v="6240"/>
  </r>
  <r>
    <x v="9"/>
    <x v="12"/>
    <x v="0"/>
    <x v="12"/>
    <x v="1"/>
    <n v="16"/>
    <n v="800"/>
    <n v="12800"/>
  </r>
  <r>
    <x v="9"/>
    <x v="1"/>
    <x v="1"/>
    <x v="4"/>
    <x v="4"/>
    <n v="18"/>
    <n v="1658"/>
    <n v="29844"/>
  </r>
  <r>
    <x v="9"/>
    <x v="11"/>
    <x v="7"/>
    <x v="4"/>
    <x v="4"/>
    <n v="9"/>
    <n v="1560"/>
    <n v="14040"/>
  </r>
  <r>
    <x v="9"/>
    <x v="0"/>
    <x v="0"/>
    <x v="11"/>
    <x v="6"/>
    <n v="50"/>
    <n v="2100"/>
    <n v="105000"/>
  </r>
  <r>
    <x v="9"/>
    <x v="0"/>
    <x v="0"/>
    <x v="3"/>
    <x v="3"/>
    <n v="23"/>
    <n v="2100"/>
    <n v="48300"/>
  </r>
  <r>
    <x v="9"/>
    <x v="4"/>
    <x v="3"/>
    <x v="3"/>
    <x v="3"/>
    <n v="14"/>
    <n v="5400"/>
    <n v="75600"/>
  </r>
  <r>
    <x v="9"/>
    <x v="12"/>
    <x v="0"/>
    <x v="3"/>
    <x v="3"/>
    <n v="25"/>
    <n v="800"/>
    <n v="20000"/>
  </r>
  <r>
    <x v="10"/>
    <x v="12"/>
    <x v="0"/>
    <x v="8"/>
    <x v="4"/>
    <n v="3"/>
    <n v="800"/>
    <n v="2400"/>
  </r>
  <r>
    <x v="10"/>
    <x v="12"/>
    <x v="0"/>
    <x v="8"/>
    <x v="4"/>
    <n v="19"/>
    <n v="800"/>
    <n v="15200"/>
  </r>
  <r>
    <x v="10"/>
    <x v="1"/>
    <x v="1"/>
    <x v="8"/>
    <x v="4"/>
    <n v="2"/>
    <n v="1658"/>
    <n v="3316"/>
  </r>
  <r>
    <x v="10"/>
    <x v="11"/>
    <x v="7"/>
    <x v="2"/>
    <x v="2"/>
    <n v="14"/>
    <n v="1560"/>
    <n v="21840"/>
  </r>
  <r>
    <x v="10"/>
    <x v="0"/>
    <x v="0"/>
    <x v="2"/>
    <x v="2"/>
    <n v="5"/>
    <n v="2100"/>
    <n v="10500"/>
  </r>
  <r>
    <x v="10"/>
    <x v="0"/>
    <x v="0"/>
    <x v="2"/>
    <x v="2"/>
    <n v="30"/>
    <n v="2100"/>
    <n v="63000"/>
  </r>
  <r>
    <x v="10"/>
    <x v="3"/>
    <x v="2"/>
    <x v="2"/>
    <x v="2"/>
    <n v="25"/>
    <n v="1400"/>
    <n v="35000"/>
  </r>
  <r>
    <x v="10"/>
    <x v="3"/>
    <x v="2"/>
    <x v="7"/>
    <x v="5"/>
    <n v="14"/>
    <n v="1400"/>
    <n v="19600"/>
  </r>
  <r>
    <x v="10"/>
    <x v="3"/>
    <x v="2"/>
    <x v="7"/>
    <x v="5"/>
    <n v="7"/>
    <n v="1400"/>
    <n v="9800"/>
  </r>
  <r>
    <x v="10"/>
    <x v="0"/>
    <x v="0"/>
    <x v="10"/>
    <x v="6"/>
    <n v="32"/>
    <n v="2100"/>
    <n v="67200"/>
  </r>
  <r>
    <x v="10"/>
    <x v="2"/>
    <x v="1"/>
    <x v="4"/>
    <x v="4"/>
    <n v="2"/>
    <n v="3216"/>
    <n v="6432"/>
  </r>
  <r>
    <x v="10"/>
    <x v="1"/>
    <x v="1"/>
    <x v="10"/>
    <x v="6"/>
    <n v="26"/>
    <n v="1658"/>
    <n v="43108"/>
  </r>
  <r>
    <x v="10"/>
    <x v="0"/>
    <x v="0"/>
    <x v="10"/>
    <x v="6"/>
    <n v="8"/>
    <n v="2100"/>
    <n v="16800"/>
  </r>
  <r>
    <x v="10"/>
    <x v="3"/>
    <x v="2"/>
    <x v="6"/>
    <x v="5"/>
    <n v="15"/>
    <n v="1400"/>
    <n v="21000"/>
  </r>
  <r>
    <x v="10"/>
    <x v="13"/>
    <x v="4"/>
    <x v="6"/>
    <x v="5"/>
    <n v="4"/>
    <n v="3200"/>
    <n v="12800"/>
  </r>
  <r>
    <x v="10"/>
    <x v="10"/>
    <x v="7"/>
    <x v="6"/>
    <x v="5"/>
    <n v="20"/>
    <n v="400"/>
    <n v="8000"/>
  </r>
  <r>
    <x v="10"/>
    <x v="12"/>
    <x v="0"/>
    <x v="12"/>
    <x v="1"/>
    <n v="11"/>
    <n v="800"/>
    <n v="8800"/>
  </r>
  <r>
    <x v="10"/>
    <x v="7"/>
    <x v="5"/>
    <x v="12"/>
    <x v="1"/>
    <n v="15"/>
    <n v="1600"/>
    <n v="24000"/>
  </r>
  <r>
    <x v="10"/>
    <x v="8"/>
    <x v="6"/>
    <x v="3"/>
    <x v="3"/>
    <n v="13"/>
    <n v="1080"/>
    <n v="14040"/>
  </r>
  <r>
    <x v="10"/>
    <x v="6"/>
    <x v="5"/>
    <x v="3"/>
    <x v="3"/>
    <n v="4"/>
    <n v="300"/>
    <n v="1200"/>
  </r>
  <r>
    <x v="10"/>
    <x v="7"/>
    <x v="5"/>
    <x v="11"/>
    <x v="6"/>
    <n v="10"/>
    <n v="1600"/>
    <n v="16000"/>
  </r>
  <r>
    <x v="10"/>
    <x v="4"/>
    <x v="3"/>
    <x v="11"/>
    <x v="6"/>
    <n v="17"/>
    <n v="5400"/>
    <n v="91800"/>
  </r>
  <r>
    <x v="10"/>
    <x v="7"/>
    <x v="5"/>
    <x v="11"/>
    <x v="6"/>
    <n v="8"/>
    <n v="1600"/>
    <n v="12800"/>
  </r>
  <r>
    <x v="10"/>
    <x v="3"/>
    <x v="2"/>
    <x v="2"/>
    <x v="2"/>
    <n v="30"/>
    <n v="1400"/>
    <n v="42000"/>
  </r>
  <r>
    <x v="10"/>
    <x v="5"/>
    <x v="4"/>
    <x v="1"/>
    <x v="1"/>
    <n v="31"/>
    <n v="425"/>
    <n v="13175"/>
  </r>
  <r>
    <x v="10"/>
    <x v="9"/>
    <x v="4"/>
    <x v="1"/>
    <x v="1"/>
    <n v="24"/>
    <n v="3200"/>
    <n v="76800"/>
  </r>
  <r>
    <x v="10"/>
    <x v="11"/>
    <x v="7"/>
    <x v="13"/>
    <x v="3"/>
    <n v="14"/>
    <n v="1560"/>
    <n v="21840"/>
  </r>
  <r>
    <x v="10"/>
    <x v="12"/>
    <x v="0"/>
    <x v="13"/>
    <x v="3"/>
    <n v="51"/>
    <n v="800"/>
    <n v="40800"/>
  </r>
  <r>
    <x v="10"/>
    <x v="12"/>
    <x v="0"/>
    <x v="5"/>
    <x v="0"/>
    <n v="3"/>
    <n v="800"/>
    <n v="2400"/>
  </r>
  <r>
    <x v="10"/>
    <x v="3"/>
    <x v="2"/>
    <x v="5"/>
    <x v="0"/>
    <n v="20"/>
    <n v="1400"/>
    <n v="28000"/>
  </r>
  <r>
    <x v="10"/>
    <x v="1"/>
    <x v="1"/>
    <x v="5"/>
    <x v="0"/>
    <n v="8"/>
    <n v="1658"/>
    <n v="13264"/>
  </r>
  <r>
    <x v="10"/>
    <x v="8"/>
    <x v="6"/>
    <x v="12"/>
    <x v="1"/>
    <n v="16"/>
    <n v="1080"/>
    <n v="17280"/>
  </r>
  <r>
    <x v="10"/>
    <x v="8"/>
    <x v="6"/>
    <x v="3"/>
    <x v="3"/>
    <n v="5"/>
    <n v="1080"/>
    <n v="5400"/>
  </r>
  <r>
    <x v="10"/>
    <x v="4"/>
    <x v="3"/>
    <x v="2"/>
    <x v="2"/>
    <n v="10"/>
    <n v="5400"/>
    <n v="54000"/>
  </r>
  <r>
    <x v="10"/>
    <x v="6"/>
    <x v="5"/>
    <x v="1"/>
    <x v="1"/>
    <n v="3"/>
    <n v="300"/>
    <n v="900"/>
  </r>
  <r>
    <x v="10"/>
    <x v="11"/>
    <x v="7"/>
    <x v="11"/>
    <x v="6"/>
    <n v="29"/>
    <n v="1560"/>
    <n v="45240"/>
  </r>
  <r>
    <x v="10"/>
    <x v="0"/>
    <x v="0"/>
    <x v="10"/>
    <x v="6"/>
    <n v="7"/>
    <n v="2100"/>
    <n v="14700"/>
  </r>
  <r>
    <x v="11"/>
    <x v="3"/>
    <x v="2"/>
    <x v="9"/>
    <x v="2"/>
    <n v="10"/>
    <n v="1400"/>
    <n v="14000"/>
  </r>
  <r>
    <x v="11"/>
    <x v="3"/>
    <x v="2"/>
    <x v="9"/>
    <x v="2"/>
    <n v="5"/>
    <n v="1400"/>
    <n v="7000"/>
  </r>
  <r>
    <x v="11"/>
    <x v="0"/>
    <x v="0"/>
    <x v="9"/>
    <x v="2"/>
    <n v="8"/>
    <n v="2100"/>
    <n v="16800"/>
  </r>
  <r>
    <x v="11"/>
    <x v="4"/>
    <x v="3"/>
    <x v="12"/>
    <x v="1"/>
    <n v="23"/>
    <n v="5400"/>
    <n v="124200"/>
  </r>
  <r>
    <x v="11"/>
    <x v="4"/>
    <x v="3"/>
    <x v="12"/>
    <x v="1"/>
    <n v="6"/>
    <n v="5400"/>
    <n v="32400"/>
  </r>
  <r>
    <x v="11"/>
    <x v="6"/>
    <x v="5"/>
    <x v="5"/>
    <x v="0"/>
    <n v="15"/>
    <n v="300"/>
    <n v="4500"/>
  </r>
  <r>
    <x v="11"/>
    <x v="7"/>
    <x v="5"/>
    <x v="1"/>
    <x v="1"/>
    <n v="19"/>
    <n v="1600"/>
    <n v="30400"/>
  </r>
  <r>
    <x v="11"/>
    <x v="6"/>
    <x v="5"/>
    <x v="1"/>
    <x v="1"/>
    <n v="20"/>
    <n v="300"/>
    <n v="6000"/>
  </r>
  <r>
    <x v="11"/>
    <x v="8"/>
    <x v="6"/>
    <x v="8"/>
    <x v="4"/>
    <n v="7"/>
    <n v="1080"/>
    <n v="7560"/>
  </r>
  <r>
    <x v="11"/>
    <x v="0"/>
    <x v="0"/>
    <x v="8"/>
    <x v="4"/>
    <n v="18"/>
    <n v="2100"/>
    <n v="37800"/>
  </r>
  <r>
    <x v="11"/>
    <x v="8"/>
    <x v="6"/>
    <x v="8"/>
    <x v="4"/>
    <n v="1"/>
    <n v="1080"/>
    <n v="1080"/>
  </r>
  <r>
    <x v="11"/>
    <x v="9"/>
    <x v="4"/>
    <x v="2"/>
    <x v="2"/>
    <n v="50"/>
    <n v="3200"/>
    <n v="160000"/>
  </r>
  <r>
    <x v="11"/>
    <x v="0"/>
    <x v="0"/>
    <x v="2"/>
    <x v="2"/>
    <n v="26"/>
    <n v="2100"/>
    <n v="54600"/>
  </r>
  <r>
    <x v="11"/>
    <x v="7"/>
    <x v="5"/>
    <x v="2"/>
    <x v="2"/>
    <n v="20"/>
    <n v="1600"/>
    <n v="32000"/>
  </r>
  <r>
    <x v="11"/>
    <x v="4"/>
    <x v="3"/>
    <x v="1"/>
    <x v="1"/>
    <n v="19"/>
    <n v="5400"/>
    <n v="102600"/>
  </r>
  <r>
    <x v="11"/>
    <x v="7"/>
    <x v="5"/>
    <x v="3"/>
    <x v="3"/>
    <n v="30"/>
    <n v="1600"/>
    <n v="48000"/>
  </r>
  <r>
    <x v="11"/>
    <x v="3"/>
    <x v="2"/>
    <x v="12"/>
    <x v="1"/>
    <n v="14"/>
    <n v="1400"/>
    <n v="19600"/>
  </r>
  <r>
    <x v="11"/>
    <x v="6"/>
    <x v="5"/>
    <x v="12"/>
    <x v="1"/>
    <n v="7"/>
    <n v="3200"/>
    <n v="22400"/>
  </r>
  <r>
    <x v="11"/>
    <x v="5"/>
    <x v="4"/>
    <x v="12"/>
    <x v="1"/>
    <n v="25"/>
    <n v="425"/>
    <n v="10625"/>
  </r>
  <r>
    <x v="11"/>
    <x v="8"/>
    <x v="6"/>
    <x v="4"/>
    <x v="4"/>
    <n v="2"/>
    <n v="1080"/>
    <n v="2160"/>
  </r>
  <r>
    <x v="11"/>
    <x v="0"/>
    <x v="0"/>
    <x v="4"/>
    <x v="4"/>
    <n v="9"/>
    <n v="2100"/>
    <n v="18900"/>
  </r>
  <r>
    <x v="11"/>
    <x v="8"/>
    <x v="6"/>
    <x v="4"/>
    <x v="4"/>
    <n v="11"/>
    <n v="1080"/>
    <n v="11880"/>
  </r>
  <r>
    <x v="11"/>
    <x v="9"/>
    <x v="4"/>
    <x v="10"/>
    <x v="6"/>
    <n v="30"/>
    <n v="3200"/>
    <n v="96000"/>
  </r>
  <r>
    <x v="11"/>
    <x v="0"/>
    <x v="0"/>
    <x v="10"/>
    <x v="6"/>
    <n v="25"/>
    <n v="2100"/>
    <n v="52500"/>
  </r>
  <r>
    <x v="11"/>
    <x v="7"/>
    <x v="5"/>
    <x v="10"/>
    <x v="6"/>
    <n v="22"/>
    <n v="1600"/>
    <n v="35200"/>
  </r>
  <r>
    <x v="11"/>
    <x v="4"/>
    <x v="3"/>
    <x v="6"/>
    <x v="5"/>
    <n v="17"/>
    <n v="5400"/>
    <n v="91800"/>
  </r>
  <r>
    <x v="11"/>
    <x v="7"/>
    <x v="5"/>
    <x v="6"/>
    <x v="5"/>
    <n v="14"/>
    <n v="1600"/>
    <n v="22400"/>
  </r>
  <r>
    <x v="11"/>
    <x v="3"/>
    <x v="2"/>
    <x v="6"/>
    <x v="5"/>
    <n v="6"/>
    <n v="1400"/>
    <n v="8400"/>
  </r>
  <r>
    <x v="11"/>
    <x v="5"/>
    <x v="4"/>
    <x v="3"/>
    <x v="3"/>
    <n v="15"/>
    <n v="425"/>
    <n v="6375"/>
  </r>
  <r>
    <x v="11"/>
    <x v="7"/>
    <x v="5"/>
    <x v="3"/>
    <x v="3"/>
    <n v="14"/>
    <n v="1600"/>
    <n v="22400"/>
  </r>
  <r>
    <x v="11"/>
    <x v="0"/>
    <x v="0"/>
    <x v="3"/>
    <x v="3"/>
    <n v="20"/>
    <n v="2100"/>
    <n v="42000"/>
  </r>
  <r>
    <x v="11"/>
    <x v="8"/>
    <x v="6"/>
    <x v="7"/>
    <x v="5"/>
    <n v="14"/>
    <n v="1080"/>
    <n v="15120"/>
  </r>
  <r>
    <x v="11"/>
    <x v="2"/>
    <x v="1"/>
    <x v="7"/>
    <x v="5"/>
    <n v="5"/>
    <n v="3216"/>
    <n v="16080"/>
  </r>
  <r>
    <x v="11"/>
    <x v="10"/>
    <x v="7"/>
    <x v="7"/>
    <x v="5"/>
    <n v="13"/>
    <n v="400"/>
    <n v="5200"/>
  </r>
  <r>
    <x v="11"/>
    <x v="6"/>
    <x v="5"/>
    <x v="7"/>
    <x v="5"/>
    <n v="9"/>
    <n v="300"/>
    <n v="2700"/>
  </r>
  <r>
    <x v="11"/>
    <x v="3"/>
    <x v="2"/>
    <x v="6"/>
    <x v="5"/>
    <n v="10"/>
    <n v="1400"/>
    <n v="14000"/>
  </r>
  <r>
    <x v="11"/>
    <x v="3"/>
    <x v="2"/>
    <x v="6"/>
    <x v="5"/>
    <n v="3"/>
    <n v="1400"/>
    <n v="4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78EFDD-139C-49A2-90E4-046F16DFFBE4}"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2" firstHeaderRow="1" firstDataRow="1" firstDataCol="1"/>
  <pivotFields count="10">
    <pivotField numFmtId="14" showAll="0">
      <items count="13">
        <item x="0"/>
        <item x="1"/>
        <item x="2"/>
        <item x="3"/>
        <item x="4"/>
        <item x="5"/>
        <item x="6"/>
        <item x="7"/>
        <item x="8"/>
        <item x="9"/>
        <item x="10"/>
        <item x="11"/>
        <item t="default"/>
      </items>
    </pivotField>
    <pivotField showAll="0">
      <items count="15">
        <item x="10"/>
        <item x="11"/>
        <item x="3"/>
        <item x="2"/>
        <item x="12"/>
        <item x="4"/>
        <item x="8"/>
        <item x="7"/>
        <item x="1"/>
        <item x="0"/>
        <item x="6"/>
        <item x="5"/>
        <item x="9"/>
        <item x="13"/>
        <item t="default"/>
      </items>
    </pivotField>
    <pivotField axis="axisRow" showAll="0">
      <items count="9">
        <item x="0"/>
        <item x="1"/>
        <item x="5"/>
        <item x="7"/>
        <item x="6"/>
        <item x="2"/>
        <item x="3"/>
        <item x="4"/>
        <item t="default"/>
      </items>
    </pivotField>
    <pivotField showAll="0">
      <items count="15">
        <item x="2"/>
        <item x="11"/>
        <item x="10"/>
        <item x="5"/>
        <item x="4"/>
        <item x="8"/>
        <item x="7"/>
        <item x="6"/>
        <item x="12"/>
        <item x="3"/>
        <item x="1"/>
        <item x="0"/>
        <item x="13"/>
        <item x="9"/>
        <item t="default"/>
      </items>
    </pivotField>
    <pivotField showAll="0">
      <items count="8">
        <item x="0"/>
        <item x="4"/>
        <item x="6"/>
        <item x="2"/>
        <item x="3"/>
        <item x="5"/>
        <item x="1"/>
        <item t="default"/>
      </items>
    </pivotField>
    <pivotField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2"/>
  </rowFields>
  <rowItems count="9">
    <i>
      <x/>
    </i>
    <i>
      <x v="1"/>
    </i>
    <i>
      <x v="2"/>
    </i>
    <i>
      <x v="3"/>
    </i>
    <i>
      <x v="4"/>
    </i>
    <i>
      <x v="5"/>
    </i>
    <i>
      <x v="6"/>
    </i>
    <i>
      <x v="7"/>
    </i>
    <i t="grand">
      <x/>
    </i>
  </rowItems>
  <colItems count="1">
    <i/>
  </colItems>
  <dataFields count="1">
    <dataField name="Sum of Amount" fld="7" baseField="0" baseItem="0" numFmtId="165"/>
  </dataFields>
  <chartFormats count="9">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2" count="1" selected="0">
            <x v="0"/>
          </reference>
        </references>
      </pivotArea>
    </chartFormat>
    <chartFormat chart="3" format="13">
      <pivotArea type="data" outline="0" fieldPosition="0">
        <references count="2">
          <reference field="4294967294" count="1" selected="0">
            <x v="0"/>
          </reference>
          <reference field="2" count="1" selected="0">
            <x v="1"/>
          </reference>
        </references>
      </pivotArea>
    </chartFormat>
    <chartFormat chart="3" format="14">
      <pivotArea type="data" outline="0" fieldPosition="0">
        <references count="2">
          <reference field="4294967294" count="1" selected="0">
            <x v="0"/>
          </reference>
          <reference field="2" count="1" selected="0">
            <x v="2"/>
          </reference>
        </references>
      </pivotArea>
    </chartFormat>
    <chartFormat chart="3" format="15">
      <pivotArea type="data" outline="0" fieldPosition="0">
        <references count="2">
          <reference field="4294967294" count="1" selected="0">
            <x v="0"/>
          </reference>
          <reference field="2" count="1" selected="0">
            <x v="3"/>
          </reference>
        </references>
      </pivotArea>
    </chartFormat>
    <chartFormat chart="3" format="16">
      <pivotArea type="data" outline="0" fieldPosition="0">
        <references count="2">
          <reference field="4294967294" count="1" selected="0">
            <x v="0"/>
          </reference>
          <reference field="2" count="1" selected="0">
            <x v="4"/>
          </reference>
        </references>
      </pivotArea>
    </chartFormat>
    <chartFormat chart="3" format="17">
      <pivotArea type="data" outline="0" fieldPosition="0">
        <references count="2">
          <reference field="4294967294" count="1" selected="0">
            <x v="0"/>
          </reference>
          <reference field="2" count="1" selected="0">
            <x v="5"/>
          </reference>
        </references>
      </pivotArea>
    </chartFormat>
    <chartFormat chart="3" format="18">
      <pivotArea type="data" outline="0" fieldPosition="0">
        <references count="2">
          <reference field="4294967294" count="1" selected="0">
            <x v="0"/>
          </reference>
          <reference field="2" count="1" selected="0">
            <x v="6"/>
          </reference>
        </references>
      </pivotArea>
    </chartFormat>
    <chartFormat chart="3" format="19">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5180C-033B-479D-9D65-4754CA90CD43}" name="SalesR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0" firstHeaderRow="1" firstDataRow="1" firstDataCol="1"/>
  <pivotFields count="10">
    <pivotField numFmtId="14" showAll="0">
      <items count="13">
        <item x="0"/>
        <item x="1"/>
        <item x="2"/>
        <item x="3"/>
        <item x="4"/>
        <item x="5"/>
        <item x="6"/>
        <item x="7"/>
        <item x="8"/>
        <item x="9"/>
        <item x="10"/>
        <item x="11"/>
        <item t="default"/>
      </items>
    </pivotField>
    <pivotField showAll="0">
      <items count="15">
        <item x="10"/>
        <item x="11"/>
        <item x="3"/>
        <item x="2"/>
        <item x="12"/>
        <item x="4"/>
        <item x="8"/>
        <item x="7"/>
        <item x="1"/>
        <item x="0"/>
        <item x="6"/>
        <item x="5"/>
        <item x="9"/>
        <item x="13"/>
        <item t="default"/>
      </items>
    </pivotField>
    <pivotField showAll="0"/>
    <pivotField axis="axisRow" showAll="0">
      <items count="15">
        <item x="2"/>
        <item x="11"/>
        <item x="10"/>
        <item x="5"/>
        <item x="4"/>
        <item x="8"/>
        <item x="7"/>
        <item x="6"/>
        <item x="12"/>
        <item x="3"/>
        <item x="1"/>
        <item x="0"/>
        <item x="13"/>
        <item x="9"/>
        <item t="default"/>
      </items>
    </pivotField>
    <pivotField showAll="0">
      <items count="8">
        <item x="0"/>
        <item x="4"/>
        <item x="6"/>
        <item x="2"/>
        <item x="3"/>
        <item x="5"/>
        <item x="1"/>
        <item t="default"/>
      </items>
    </pivotField>
    <pivotField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3"/>
  </rowFields>
  <rowItems count="7">
    <i>
      <x/>
    </i>
    <i>
      <x v="3"/>
    </i>
    <i>
      <x v="4"/>
    </i>
    <i>
      <x v="9"/>
    </i>
    <i>
      <x v="10"/>
    </i>
    <i>
      <x v="11"/>
    </i>
    <i t="grand">
      <x/>
    </i>
  </rowItems>
  <colItems count="1">
    <i/>
  </colItems>
  <dataFields count="1">
    <dataField name="Sum of Amount" fld="7" baseField="0" baseItem="0" numFmtId="165"/>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12"/>
          </reference>
        </references>
      </pivotArea>
    </chartFormat>
    <chartFormat chart="4" format="4">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20B7A7-B457-4513-AD42-21AD0F9F057E}"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17" firstHeaderRow="1" firstDataRow="1" firstDataCol="1"/>
  <pivotFields count="10">
    <pivotField numFmtId="14" showAll="0">
      <items count="13">
        <item x="0"/>
        <item x="1"/>
        <item x="2"/>
        <item x="3"/>
        <item x="4"/>
        <item x="5"/>
        <item x="6"/>
        <item x="7"/>
        <item x="8"/>
        <item x="9"/>
        <item x="10"/>
        <item x="11"/>
        <item t="default"/>
      </items>
    </pivotField>
    <pivotField axis="axisRow" showAll="0">
      <items count="15">
        <item x="10"/>
        <item x="11"/>
        <item x="3"/>
        <item x="2"/>
        <item x="12"/>
        <item x="4"/>
        <item x="8"/>
        <item x="7"/>
        <item x="1"/>
        <item x="0"/>
        <item x="6"/>
        <item x="5"/>
        <item x="9"/>
        <item x="13"/>
        <item t="default"/>
      </items>
    </pivotField>
    <pivotField showAll="0"/>
    <pivotField showAll="0"/>
    <pivotField showAll="0">
      <items count="8">
        <item x="0"/>
        <item x="4"/>
        <item x="6"/>
        <item x="2"/>
        <item x="3"/>
        <item x="5"/>
        <item x="1"/>
        <item t="default"/>
      </items>
    </pivotField>
    <pivotField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1"/>
  </rowFields>
  <rowItems count="14">
    <i>
      <x/>
    </i>
    <i>
      <x v="1"/>
    </i>
    <i>
      <x v="2"/>
    </i>
    <i>
      <x v="3"/>
    </i>
    <i>
      <x v="4"/>
    </i>
    <i>
      <x v="5"/>
    </i>
    <i>
      <x v="6"/>
    </i>
    <i>
      <x v="7"/>
    </i>
    <i>
      <x v="8"/>
    </i>
    <i>
      <x v="9"/>
    </i>
    <i>
      <x v="10"/>
    </i>
    <i>
      <x v="11"/>
    </i>
    <i>
      <x v="12"/>
    </i>
    <i t="grand">
      <x/>
    </i>
  </rowItems>
  <colItems count="1">
    <i/>
  </colItems>
  <dataFields count="1">
    <dataField name="Sum of Amount" fld="7"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3B337B-882F-4441-8553-800F07FB6580}"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0">
    <pivotField numFmtId="14" showAll="0">
      <items count="13">
        <item x="0"/>
        <item x="1"/>
        <item x="2"/>
        <item x="3"/>
        <item x="4"/>
        <item x="5"/>
        <item x="6"/>
        <item x="7"/>
        <item x="8"/>
        <item x="9"/>
        <item x="10"/>
        <item x="11"/>
        <item t="default"/>
      </items>
    </pivotField>
    <pivotField showAll="0"/>
    <pivotField showAll="0"/>
    <pivotField showAll="0"/>
    <pivotField axis="axisRow" showAll="0">
      <items count="8">
        <item x="0"/>
        <item x="4"/>
        <item x="6"/>
        <item x="2"/>
        <item x="3"/>
        <item x="5"/>
        <item x="1"/>
        <item t="default"/>
      </items>
    </pivotField>
    <pivotField showAll="0"/>
    <pivotField numFmtId="164"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h="1" x="3"/>
        <item h="1" x="4"/>
        <item h="1" x="5"/>
        <item h="1" x="6"/>
        <item h="1" x="7"/>
        <item h="1" x="8"/>
        <item h="1" x="9"/>
        <item h="1" x="10"/>
        <item h="1" x="11"/>
        <item h="1" x="12"/>
        <item h="1" x="13"/>
        <item t="default"/>
      </items>
    </pivotField>
  </pivotFields>
  <rowFields count="1">
    <field x="4"/>
  </rowFields>
  <rowItems count="6">
    <i>
      <x/>
    </i>
    <i>
      <x v="1"/>
    </i>
    <i>
      <x v="3"/>
    </i>
    <i>
      <x v="4"/>
    </i>
    <i>
      <x v="6"/>
    </i>
    <i t="grand">
      <x/>
    </i>
  </rowItems>
  <colItems count="1">
    <i/>
  </colItems>
  <dataFields count="1">
    <dataField name="Sum of Amount" fld="7" baseField="0" baseItem="0" numFmtId="165"/>
  </dataFields>
  <chartFormats count="5">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4" count="1" selected="0">
            <x v="0"/>
          </reference>
        </references>
      </pivotArea>
    </chartFormat>
    <chartFormat chart="7" format="4">
      <pivotArea type="data" outline="0" fieldPosition="0">
        <references count="2">
          <reference field="4294967294" count="1" selected="0">
            <x v="0"/>
          </reference>
          <reference field="4" count="1" selected="0">
            <x v="4"/>
          </reference>
        </references>
      </pivotArea>
    </chartFormat>
    <chartFormat chart="7" format="5">
      <pivotArea type="data" outline="0" fieldPosition="0">
        <references count="2">
          <reference field="4294967294" count="1" selected="0">
            <x v="0"/>
          </reference>
          <reference field="4" count="1" selected="0">
            <x v="5"/>
          </reference>
        </references>
      </pivotArea>
    </chartFormat>
    <chartFormat chart="7" format="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A128EA-782E-4A52-B6A1-554160301272}"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N16" firstHeaderRow="1" firstDataRow="1" firstDataCol="1"/>
  <pivotFields count="10">
    <pivotField numFmtId="14" showAll="0">
      <items count="13">
        <item x="0"/>
        <item x="1"/>
        <item x="2"/>
        <item x="3"/>
        <item x="4"/>
        <item x="5"/>
        <item x="6"/>
        <item x="7"/>
        <item x="8"/>
        <item x="9"/>
        <item x="10"/>
        <item x="11"/>
        <item t="default"/>
      </items>
    </pivotField>
    <pivotField showAll="0">
      <items count="15">
        <item x="10"/>
        <item x="11"/>
        <item x="3"/>
        <item x="2"/>
        <item x="12"/>
        <item x="4"/>
        <item x="8"/>
        <item x="7"/>
        <item x="1"/>
        <item x="0"/>
        <item x="6"/>
        <item x="5"/>
        <item x="9"/>
        <item x="13"/>
        <item t="default"/>
      </items>
    </pivotField>
    <pivotField showAll="0">
      <items count="9">
        <item x="0"/>
        <item x="1"/>
        <item x="5"/>
        <item x="7"/>
        <item x="6"/>
        <item x="2"/>
        <item x="3"/>
        <item x="4"/>
        <item t="default"/>
      </items>
    </pivotField>
    <pivotField showAll="0">
      <items count="15">
        <item x="2"/>
        <item x="11"/>
        <item x="10"/>
        <item x="5"/>
        <item x="4"/>
        <item x="8"/>
        <item x="7"/>
        <item x="6"/>
        <item x="12"/>
        <item x="3"/>
        <item x="1"/>
        <item x="0"/>
        <item x="13"/>
        <item x="9"/>
        <item t="default"/>
      </items>
    </pivotField>
    <pivotField showAll="0">
      <items count="8">
        <item x="0"/>
        <item x="4"/>
        <item x="6"/>
        <item x="2"/>
        <item x="3"/>
        <item x="5"/>
        <item x="1"/>
        <item t="default"/>
      </items>
    </pivotField>
    <pivotField showAll="0"/>
    <pivotField numFmtId="164" showAll="0"/>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Amount" fld="7" baseField="0" baseItem="0" numFmtId="165"/>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F33EB6A-06D1-4DB8-87B8-D90B094AAB26}" sourceName="Months (Date)">
  <pivotTables>
    <pivotTable tabId="2" name="CITY"/>
    <pivotTable tabId="2" name="CATEGORY"/>
    <pivotTable tabId="2" name="PRODUCT"/>
    <pivotTable tabId="2" name="SalesREP"/>
  </pivotTables>
  <data>
    <tabular pivotCacheId="679480662">
      <items count="14">
        <i x="1" s="1"/>
        <i x="2"/>
        <i x="3"/>
        <i x="4"/>
        <i x="5"/>
        <i x="6"/>
        <i x="7"/>
        <i x="8"/>
        <i x="9"/>
        <i x="10"/>
        <i x="11"/>
        <i x="12"/>
        <i x="0" nd="1"/>
        <i x="1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FB6FF81C-18DF-4D69-89EF-84C5EF00C1A4}" cache="Slicer_Months__Date" caption="Months (Dat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7BA83B-5BC8-48BC-B4B0-6B9EF0D9C1B7}" name="Table1" displayName="Table1" ref="Q2:S17" totalsRowShown="0">
  <autoFilter ref="Q2:S17" xr:uid="{427BA83B-5BC8-48BC-B4B0-6B9EF0D9C1B7}"/>
  <tableColumns count="3">
    <tableColumn id="1" xr3:uid="{328BE1D1-DD12-4141-8B92-315BA0205714}" name="Coproduct"/>
    <tableColumn id="2" xr3:uid="{99172A40-73C9-49BD-84EB-DC78EAB864DD}" name="category"/>
    <tableColumn id="3" xr3:uid="{CA568FA0-9B97-4B7E-BCA1-B7397D3C1EEE}" name="PRIC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819D62-0CC7-4C25-9771-581A9B3CE21E}" name="Table2" displayName="Table2" ref="Q19:R33" totalsRowShown="0">
  <autoFilter ref="Q19:R33" xr:uid="{6A819D62-0CC7-4C25-9771-581A9B3CE21E}"/>
  <tableColumns count="2">
    <tableColumn id="1" xr3:uid="{88791521-3595-4CC1-AA49-9FFBB48DDD90}" name="SALES REP"/>
    <tableColumn id="2" xr3:uid="{629419B2-4CCF-48E7-A029-FDDE63019B90}"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BB417-D45B-4F83-A21E-43DB618477FD}">
  <dimension ref="B1:S350"/>
  <sheetViews>
    <sheetView topLeftCell="B1" workbookViewId="0">
      <selection activeCell="L8" sqref="L8"/>
    </sheetView>
  </sheetViews>
  <sheetFormatPr defaultRowHeight="14.4" x14ac:dyDescent="0.3"/>
  <cols>
    <col min="2" max="2" width="10.33203125" bestFit="1" customWidth="1"/>
    <col min="3" max="3" width="13.5546875" bestFit="1" customWidth="1"/>
    <col min="4" max="4" width="12.77734375" bestFit="1" customWidth="1"/>
    <col min="5" max="5" width="10.5546875" customWidth="1"/>
    <col min="6" max="6" width="11.109375" bestFit="1" customWidth="1"/>
    <col min="7" max="7" width="10.5546875" bestFit="1" customWidth="1"/>
    <col min="8" max="8" width="10.44140625" bestFit="1" customWidth="1"/>
    <col min="9" max="9" width="11.88671875" bestFit="1" customWidth="1"/>
    <col min="17" max="17" width="11.77734375" bestFit="1" customWidth="1"/>
    <col min="18" max="18" width="12.77734375" bestFit="1" customWidth="1"/>
    <col min="19" max="19" width="9.44140625" bestFit="1" customWidth="1"/>
  </cols>
  <sheetData>
    <row r="1" spans="2:19" x14ac:dyDescent="0.3">
      <c r="B1" s="1" t="s">
        <v>0</v>
      </c>
      <c r="C1" s="1" t="s">
        <v>1</v>
      </c>
      <c r="D1" s="1" t="s">
        <v>2</v>
      </c>
      <c r="E1" s="1" t="s">
        <v>3</v>
      </c>
      <c r="F1" s="1" t="s">
        <v>4</v>
      </c>
      <c r="G1" s="1" t="s">
        <v>5</v>
      </c>
      <c r="H1" s="1" t="s">
        <v>6</v>
      </c>
      <c r="I1" s="1" t="s">
        <v>7</v>
      </c>
    </row>
    <row r="2" spans="2:19" x14ac:dyDescent="0.3">
      <c r="B2" s="3">
        <v>46030</v>
      </c>
      <c r="C2" s="4" t="s">
        <v>8</v>
      </c>
      <c r="D2" s="4" t="str">
        <f>VLOOKUP(C2:C27,Table1[],2,0)</f>
        <v>analgesic</v>
      </c>
      <c r="E2" s="4" t="s">
        <v>44</v>
      </c>
      <c r="F2" s="4" t="str">
        <f>VLOOKUP(E1:E27,Table2[#All],2,0)</f>
        <v>BANGLORE</v>
      </c>
      <c r="G2" s="4">
        <v>30</v>
      </c>
      <c r="H2" s="5">
        <v>2100</v>
      </c>
      <c r="I2" s="5">
        <f>G:G*H:H</f>
        <v>63000</v>
      </c>
      <c r="Q2" t="s">
        <v>43</v>
      </c>
      <c r="R2" t="s">
        <v>21</v>
      </c>
      <c r="S2" t="s">
        <v>67</v>
      </c>
    </row>
    <row r="3" spans="2:19" x14ac:dyDescent="0.3">
      <c r="B3" s="3">
        <v>46030</v>
      </c>
      <c r="C3" s="4" t="s">
        <v>10</v>
      </c>
      <c r="D3" s="4" t="str">
        <f>VLOOKUP(C3:C28,Table1[],2,0)</f>
        <v>antacids</v>
      </c>
      <c r="E3" s="4" t="s">
        <v>45</v>
      </c>
      <c r="F3" s="4" t="str">
        <f>VLOOKUP(E2:E28,Table2[#All],2,0)</f>
        <v>PUNE</v>
      </c>
      <c r="G3" s="4">
        <v>6</v>
      </c>
      <c r="H3" s="5">
        <f>VLOOKUP(C2:C29,Table1[#All],3,0)</f>
        <v>1658</v>
      </c>
      <c r="I3" s="5">
        <f t="shared" ref="I3:I66" si="0">G:G*H:H</f>
        <v>9948</v>
      </c>
      <c r="Q3" t="s">
        <v>22</v>
      </c>
      <c r="R3" t="s">
        <v>35</v>
      </c>
      <c r="S3" s="2">
        <v>2100</v>
      </c>
    </row>
    <row r="4" spans="2:19" x14ac:dyDescent="0.3">
      <c r="B4" s="3">
        <v>46030</v>
      </c>
      <c r="C4" s="4" t="s">
        <v>11</v>
      </c>
      <c r="D4" s="4" t="str">
        <f>VLOOKUP(C4:C29,Table1[],2,0)</f>
        <v>antacids</v>
      </c>
      <c r="E4" s="4" t="s">
        <v>45</v>
      </c>
      <c r="F4" s="4" t="str">
        <f>VLOOKUP(E3:E29,Table2[#All],2,0)</f>
        <v>PUNE</v>
      </c>
      <c r="G4" s="4">
        <v>45</v>
      </c>
      <c r="H4" s="5">
        <f>VLOOKUP(C3:C30,Table1[#All],3,0)</f>
        <v>3216</v>
      </c>
      <c r="I4" s="5">
        <f t="shared" si="0"/>
        <v>144720</v>
      </c>
      <c r="Q4" t="s">
        <v>23</v>
      </c>
      <c r="R4" t="s">
        <v>41</v>
      </c>
      <c r="S4" s="2">
        <v>400</v>
      </c>
    </row>
    <row r="5" spans="2:19" x14ac:dyDescent="0.3">
      <c r="B5" s="3">
        <v>46030</v>
      </c>
      <c r="C5" s="4" t="s">
        <v>12</v>
      </c>
      <c r="D5" s="4" t="str">
        <f>VLOOKUP(C5:C30,Table1[],2,0)</f>
        <v>antihistamines</v>
      </c>
      <c r="E5" s="4" t="s">
        <v>46</v>
      </c>
      <c r="F5" s="4" t="str">
        <f>VLOOKUP(E4:E30,Table2[#All],2,0)</f>
        <v>HYDERABAD</v>
      </c>
      <c r="G5" s="4">
        <v>22</v>
      </c>
      <c r="H5" s="5">
        <f>VLOOKUP(C4:C31,Table1[#All],3,0)</f>
        <v>1400</v>
      </c>
      <c r="I5" s="5">
        <f t="shared" si="0"/>
        <v>30800</v>
      </c>
      <c r="Q5" t="s">
        <v>24</v>
      </c>
      <c r="R5" t="s">
        <v>36</v>
      </c>
      <c r="S5" s="2">
        <v>1658</v>
      </c>
    </row>
    <row r="6" spans="2:19" x14ac:dyDescent="0.3">
      <c r="B6" s="3">
        <v>46030</v>
      </c>
      <c r="C6" s="4" t="s">
        <v>12</v>
      </c>
      <c r="D6" s="4" t="str">
        <f>VLOOKUP(C6:C31,Table1[],2,0)</f>
        <v>antihistamines</v>
      </c>
      <c r="E6" s="4" t="s">
        <v>47</v>
      </c>
      <c r="F6" s="4" t="str">
        <f>VLOOKUP(E5:E31,Table2[#All],2,0)</f>
        <v>MUMBAI</v>
      </c>
      <c r="G6" s="4">
        <v>8</v>
      </c>
      <c r="H6" s="5">
        <f>VLOOKUP(C5:C32,Table1[#All],3,0)</f>
        <v>1400</v>
      </c>
      <c r="I6" s="5">
        <f t="shared" si="0"/>
        <v>11200</v>
      </c>
      <c r="Q6" t="s">
        <v>25</v>
      </c>
      <c r="R6" t="s">
        <v>37</v>
      </c>
      <c r="S6" s="2">
        <v>1400</v>
      </c>
    </row>
    <row r="7" spans="2:19" x14ac:dyDescent="0.3">
      <c r="B7" s="3">
        <v>46030</v>
      </c>
      <c r="C7" s="4" t="s">
        <v>8</v>
      </c>
      <c r="D7" s="4" t="str">
        <f>VLOOKUP(C7:C32,Table1[],2,0)</f>
        <v>analgesic</v>
      </c>
      <c r="E7" s="4" t="s">
        <v>47</v>
      </c>
      <c r="F7" s="4" t="str">
        <f>VLOOKUP(E6:E32,Table2[#All],2,0)</f>
        <v>MUMBAI</v>
      </c>
      <c r="G7" s="4">
        <v>9</v>
      </c>
      <c r="H7" s="5">
        <f>VLOOKUP(C6:C33,Table1[#All],3,0)</f>
        <v>2100</v>
      </c>
      <c r="I7" s="5">
        <f t="shared" si="0"/>
        <v>18900</v>
      </c>
      <c r="Q7" t="s">
        <v>26</v>
      </c>
      <c r="R7" t="s">
        <v>36</v>
      </c>
      <c r="S7" s="2">
        <v>3216</v>
      </c>
    </row>
    <row r="8" spans="2:19" x14ac:dyDescent="0.3">
      <c r="B8" s="3">
        <v>46030</v>
      </c>
      <c r="C8" s="4" t="s">
        <v>13</v>
      </c>
      <c r="D8" s="4" t="str">
        <f>VLOOKUP(C8:C33,Table1[],2,0)</f>
        <v>antipyretic</v>
      </c>
      <c r="E8" s="4" t="s">
        <v>47</v>
      </c>
      <c r="F8" s="4" t="str">
        <f>VLOOKUP(E7:E33,Table2[#All],2,0)</f>
        <v>MUMBAI</v>
      </c>
      <c r="G8" s="4">
        <v>14</v>
      </c>
      <c r="H8" s="5">
        <f>VLOOKUP(C7:C34,Table1[#All],3,0)</f>
        <v>5400</v>
      </c>
      <c r="I8" s="5">
        <f t="shared" si="0"/>
        <v>75600</v>
      </c>
      <c r="Q8" t="s">
        <v>27</v>
      </c>
      <c r="R8" t="s">
        <v>38</v>
      </c>
      <c r="S8" s="2">
        <v>5400</v>
      </c>
    </row>
    <row r="9" spans="2:19" x14ac:dyDescent="0.3">
      <c r="B9" s="3">
        <v>46030</v>
      </c>
      <c r="C9" s="4" t="s">
        <v>14</v>
      </c>
      <c r="D9" s="4" t="str">
        <f>VLOOKUP(C9:C34,Table1[],2,0)</f>
        <v>vitamins</v>
      </c>
      <c r="E9" s="4" t="s">
        <v>47</v>
      </c>
      <c r="F9" s="4" t="str">
        <f>VLOOKUP(E8:E34,Table2[#All],2,0)</f>
        <v>MUMBAI</v>
      </c>
      <c r="G9" s="4">
        <v>15</v>
      </c>
      <c r="H9" s="5">
        <f>VLOOKUP(C8:C35,Table1[#All],3,0)</f>
        <v>425</v>
      </c>
      <c r="I9" s="5">
        <f t="shared" si="0"/>
        <v>6375</v>
      </c>
      <c r="S9" s="2"/>
    </row>
    <row r="10" spans="2:19" x14ac:dyDescent="0.3">
      <c r="B10" s="3">
        <v>46030</v>
      </c>
      <c r="C10" s="4" t="s">
        <v>15</v>
      </c>
      <c r="D10" s="4" t="s">
        <v>40</v>
      </c>
      <c r="E10" s="4" t="s">
        <v>46</v>
      </c>
      <c r="F10" s="4" t="str">
        <f>VLOOKUP(E9:E35,Table2[#All],2,0)</f>
        <v>HYDERABAD</v>
      </c>
      <c r="G10" s="4">
        <v>6</v>
      </c>
      <c r="H10" s="5">
        <v>300</v>
      </c>
      <c r="I10" s="5">
        <f t="shared" si="0"/>
        <v>1800</v>
      </c>
      <c r="Q10" t="s">
        <v>29</v>
      </c>
      <c r="R10" t="s">
        <v>39</v>
      </c>
      <c r="S10" s="2">
        <v>425</v>
      </c>
    </row>
    <row r="11" spans="2:19" x14ac:dyDescent="0.3">
      <c r="B11" s="3">
        <v>46030</v>
      </c>
      <c r="C11" s="4" t="s">
        <v>16</v>
      </c>
      <c r="D11" s="4" t="str">
        <f>VLOOKUP(C11:C36,Table1[],2,0)</f>
        <v>antibacterial</v>
      </c>
      <c r="E11" s="4" t="s">
        <v>46</v>
      </c>
      <c r="F11" s="4" t="str">
        <f>VLOOKUP(E10:E36,Table2[#All],2,0)</f>
        <v>HYDERABAD</v>
      </c>
      <c r="G11" s="4">
        <v>7</v>
      </c>
      <c r="H11" s="5">
        <f>VLOOKUP(C10:C37,Table1[#All],3,0)</f>
        <v>1600</v>
      </c>
      <c r="I11" s="5">
        <f t="shared" si="0"/>
        <v>11200</v>
      </c>
      <c r="Q11" t="s">
        <v>30</v>
      </c>
      <c r="R11" t="s">
        <v>39</v>
      </c>
      <c r="S11" s="2">
        <v>3200</v>
      </c>
    </row>
    <row r="12" spans="2:19" x14ac:dyDescent="0.3">
      <c r="B12" s="3">
        <v>46030</v>
      </c>
      <c r="C12" s="4" t="s">
        <v>15</v>
      </c>
      <c r="D12" s="4" t="s">
        <v>40</v>
      </c>
      <c r="E12" s="4" t="s">
        <v>46</v>
      </c>
      <c r="F12" s="4" t="str">
        <f>VLOOKUP(E11:E37,Table2[#All],2,0)</f>
        <v>HYDERABAD</v>
      </c>
      <c r="G12" s="4">
        <v>15</v>
      </c>
      <c r="H12" s="5">
        <v>300</v>
      </c>
      <c r="I12" s="5">
        <f t="shared" si="0"/>
        <v>4500</v>
      </c>
      <c r="Q12" t="s">
        <v>31</v>
      </c>
      <c r="R12" t="s">
        <v>40</v>
      </c>
      <c r="S12" s="2">
        <v>1600</v>
      </c>
    </row>
    <row r="13" spans="2:19" x14ac:dyDescent="0.3">
      <c r="B13" s="3">
        <v>46030</v>
      </c>
      <c r="C13" s="4" t="s">
        <v>17</v>
      </c>
      <c r="D13" s="4" t="str">
        <f>VLOOKUP(C13:C38,Table1[],2,0)</f>
        <v>antidiabetic</v>
      </c>
      <c r="E13" s="4" t="s">
        <v>46</v>
      </c>
      <c r="F13" s="4" t="str">
        <f>VLOOKUP(E12:E38,Table2[#All],2,0)</f>
        <v>HYDERABAD</v>
      </c>
      <c r="G13" s="4">
        <v>35</v>
      </c>
      <c r="H13" s="5">
        <f>VLOOKUP(C12:C39,Table1[#All],3,0)</f>
        <v>1080</v>
      </c>
      <c r="I13" s="5">
        <f t="shared" si="0"/>
        <v>37800</v>
      </c>
      <c r="Q13" t="s">
        <v>32</v>
      </c>
      <c r="R13" t="s">
        <v>42</v>
      </c>
      <c r="S13" s="2">
        <v>1080</v>
      </c>
    </row>
    <row r="14" spans="2:19" x14ac:dyDescent="0.3">
      <c r="B14" s="3">
        <v>46030</v>
      </c>
      <c r="C14" s="4" t="s">
        <v>8</v>
      </c>
      <c r="D14" s="4" t="str">
        <f>VLOOKUP(C14:C39,Table1[],2,0)</f>
        <v>analgesic</v>
      </c>
      <c r="E14" s="4" t="s">
        <v>44</v>
      </c>
      <c r="F14" s="4" t="str">
        <f>VLOOKUP(E13:E39,Table2[#All],2,0)</f>
        <v>BANGLORE</v>
      </c>
      <c r="G14" s="4">
        <v>10</v>
      </c>
      <c r="H14" s="5">
        <f>VLOOKUP(C13:C40,Table1[#All],3,0)</f>
        <v>2100</v>
      </c>
      <c r="I14" s="5">
        <f t="shared" si="0"/>
        <v>21000</v>
      </c>
      <c r="Q14" t="s">
        <v>33</v>
      </c>
      <c r="R14" t="s">
        <v>41</v>
      </c>
      <c r="S14" s="2">
        <v>1560</v>
      </c>
    </row>
    <row r="15" spans="2:19" x14ac:dyDescent="0.3">
      <c r="B15" s="3">
        <v>46030</v>
      </c>
      <c r="C15" s="4" t="s">
        <v>17</v>
      </c>
      <c r="D15" s="4" t="str">
        <f>VLOOKUP(C15:C40,Table1[],2,0)</f>
        <v>antidiabetic</v>
      </c>
      <c r="E15" s="4" t="s">
        <v>44</v>
      </c>
      <c r="F15" s="4" t="str">
        <f>VLOOKUP(E14:E40,Table2[#All],2,0)</f>
        <v>BANGLORE</v>
      </c>
      <c r="G15" s="4">
        <v>55</v>
      </c>
      <c r="H15" s="5">
        <f>VLOOKUP(C14:C41,Table1[#All],3,0)</f>
        <v>1080</v>
      </c>
      <c r="I15" s="5">
        <f t="shared" si="0"/>
        <v>59400</v>
      </c>
      <c r="Q15" t="s">
        <v>34</v>
      </c>
      <c r="R15" t="s">
        <v>35</v>
      </c>
      <c r="S15" s="2">
        <v>800</v>
      </c>
    </row>
    <row r="16" spans="2:19" x14ac:dyDescent="0.3">
      <c r="B16" s="3">
        <v>46030</v>
      </c>
      <c r="C16" s="4" t="s">
        <v>18</v>
      </c>
      <c r="D16" s="4" t="s">
        <v>39</v>
      </c>
      <c r="E16" s="4" t="s">
        <v>44</v>
      </c>
      <c r="F16" s="4" t="str">
        <f>VLOOKUP(E15:E41,Table2[#All],2,0)</f>
        <v>BANGLORE</v>
      </c>
      <c r="G16" s="4">
        <v>27</v>
      </c>
      <c r="H16" s="5">
        <v>3200</v>
      </c>
      <c r="I16" s="5">
        <f t="shared" si="0"/>
        <v>86400</v>
      </c>
      <c r="Q16" t="s">
        <v>28</v>
      </c>
      <c r="R16" t="s">
        <v>40</v>
      </c>
      <c r="S16" s="2">
        <v>300</v>
      </c>
    </row>
    <row r="17" spans="2:19" x14ac:dyDescent="0.3">
      <c r="B17" s="3">
        <v>46030</v>
      </c>
      <c r="C17" s="4" t="s">
        <v>8</v>
      </c>
      <c r="D17" s="4" t="str">
        <f>VLOOKUP(C17:C41,Table1[],2,0)</f>
        <v>analgesic</v>
      </c>
      <c r="E17" s="4" t="s">
        <v>48</v>
      </c>
      <c r="F17" s="4" t="str">
        <f>VLOOKUP(E16:E42,Table2[#All],2,0)</f>
        <v>CHENNAI</v>
      </c>
      <c r="G17" s="4">
        <v>36</v>
      </c>
      <c r="H17" s="5">
        <f>VLOOKUP(C16:C43,Table1[#All],3,0)</f>
        <v>2100</v>
      </c>
      <c r="I17" s="5">
        <f t="shared" si="0"/>
        <v>75600</v>
      </c>
      <c r="Q17" t="s">
        <v>24</v>
      </c>
      <c r="R17" t="s">
        <v>36</v>
      </c>
      <c r="S17" s="2">
        <v>190</v>
      </c>
    </row>
    <row r="18" spans="2:19" x14ac:dyDescent="0.3">
      <c r="B18" s="3">
        <v>46030</v>
      </c>
      <c r="C18" s="4" t="s">
        <v>11</v>
      </c>
      <c r="D18" s="4" t="str">
        <f>VLOOKUP(C18:C42,Table1[],2,0)</f>
        <v>antacids</v>
      </c>
      <c r="E18" s="4" t="s">
        <v>48</v>
      </c>
      <c r="F18" s="4" t="str">
        <f>VLOOKUP(E17:E43,Table2[#All],2,0)</f>
        <v>CHENNAI</v>
      </c>
      <c r="G18" s="4">
        <v>16</v>
      </c>
      <c r="H18" s="5">
        <f>VLOOKUP(C17:C44,Table1[#All],3,0)</f>
        <v>3216</v>
      </c>
      <c r="I18" s="5">
        <f t="shared" si="0"/>
        <v>51456</v>
      </c>
    </row>
    <row r="19" spans="2:19" x14ac:dyDescent="0.3">
      <c r="B19" s="3">
        <v>46030</v>
      </c>
      <c r="C19" s="4" t="s">
        <v>13</v>
      </c>
      <c r="D19" s="4" t="str">
        <f>VLOOKUP(C19:C43,Table1[],2,0)</f>
        <v>antipyretic</v>
      </c>
      <c r="E19" s="4" t="s">
        <v>48</v>
      </c>
      <c r="F19" s="4" t="str">
        <f>VLOOKUP(E18:E44,Table2[#All],2,0)</f>
        <v>CHENNAI</v>
      </c>
      <c r="G19" s="4">
        <v>30</v>
      </c>
      <c r="H19" s="5">
        <f>VLOOKUP(C18:C45,Table1[#All],3,0)</f>
        <v>5400</v>
      </c>
      <c r="I19" s="5">
        <f t="shared" si="0"/>
        <v>162000</v>
      </c>
      <c r="Q19" t="s">
        <v>65</v>
      </c>
      <c r="R19" t="s">
        <v>66</v>
      </c>
    </row>
    <row r="20" spans="2:19" x14ac:dyDescent="0.3">
      <c r="B20" s="3">
        <v>46030</v>
      </c>
      <c r="C20" s="4" t="s">
        <v>9</v>
      </c>
      <c r="D20" s="4" t="str">
        <f>VLOOKUP(C20:C44,Table1[],2,0)</f>
        <v>antibiotic</v>
      </c>
      <c r="E20" s="4" t="s">
        <v>48</v>
      </c>
      <c r="F20" s="4" t="str">
        <f>VLOOKUP(E19:E45,Table2[#All],2,0)</f>
        <v>CHENNAI</v>
      </c>
      <c r="G20" s="4">
        <v>41</v>
      </c>
      <c r="H20" s="5">
        <f>VLOOKUP(C19:C46,Table1[#All],3,0)</f>
        <v>400</v>
      </c>
      <c r="I20" s="5">
        <f t="shared" si="0"/>
        <v>16400</v>
      </c>
      <c r="Q20" t="s">
        <v>44</v>
      </c>
      <c r="R20" t="s">
        <v>49</v>
      </c>
    </row>
    <row r="21" spans="2:19" x14ac:dyDescent="0.3">
      <c r="B21" s="3">
        <v>46030</v>
      </c>
      <c r="C21" s="4" t="s">
        <v>12</v>
      </c>
      <c r="D21" s="4" t="str">
        <f>VLOOKUP(C21:C45,Table1[],2,0)</f>
        <v>antihistamines</v>
      </c>
      <c r="E21" s="4" t="s">
        <v>45</v>
      </c>
      <c r="F21" s="4" t="str">
        <f>VLOOKUP(E20:E46,Table2[#All],2,0)</f>
        <v>PUNE</v>
      </c>
      <c r="G21" s="4">
        <v>50</v>
      </c>
      <c r="H21" s="5">
        <f>VLOOKUP(C20:C47,Table1[#All],3,0)</f>
        <v>1400</v>
      </c>
      <c r="I21" s="5">
        <f t="shared" si="0"/>
        <v>70000</v>
      </c>
      <c r="Q21" t="s">
        <v>45</v>
      </c>
      <c r="R21" t="s">
        <v>50</v>
      </c>
    </row>
    <row r="22" spans="2:19" x14ac:dyDescent="0.3">
      <c r="B22" s="3">
        <v>46030</v>
      </c>
      <c r="C22" s="4" t="s">
        <v>14</v>
      </c>
      <c r="D22" s="4" t="str">
        <f>VLOOKUP(C22:C46,Table1[],2,0)</f>
        <v>vitamins</v>
      </c>
      <c r="E22" s="4" t="s">
        <v>45</v>
      </c>
      <c r="F22" s="4" t="str">
        <f>VLOOKUP(E21:E47,Table2[#All],2,0)</f>
        <v>PUNE</v>
      </c>
      <c r="G22" s="4">
        <v>14</v>
      </c>
      <c r="H22" s="5">
        <f>VLOOKUP(C21:C48,Table1[#All],3,0)</f>
        <v>425</v>
      </c>
      <c r="I22" s="5">
        <f t="shared" si="0"/>
        <v>5950</v>
      </c>
      <c r="Q22" t="s">
        <v>47</v>
      </c>
      <c r="R22" t="s">
        <v>51</v>
      </c>
    </row>
    <row r="23" spans="2:19" x14ac:dyDescent="0.3">
      <c r="B23" s="3">
        <v>46030</v>
      </c>
      <c r="C23" s="4" t="s">
        <v>18</v>
      </c>
      <c r="D23" s="4" t="s">
        <v>39</v>
      </c>
      <c r="E23" s="4" t="s">
        <v>45</v>
      </c>
      <c r="F23" s="4" t="str">
        <f>VLOOKUP(E22:E48,Table2[#All],2,0)</f>
        <v>PUNE</v>
      </c>
      <c r="G23" s="4">
        <v>16</v>
      </c>
      <c r="H23" s="5">
        <v>3200</v>
      </c>
      <c r="I23" s="5">
        <f t="shared" si="0"/>
        <v>51200</v>
      </c>
      <c r="Q23" t="s">
        <v>46</v>
      </c>
      <c r="R23" t="s">
        <v>52</v>
      </c>
    </row>
    <row r="24" spans="2:19" x14ac:dyDescent="0.3">
      <c r="B24" s="3">
        <v>46030</v>
      </c>
      <c r="C24" s="4" t="s">
        <v>19</v>
      </c>
      <c r="D24" s="4" t="str">
        <f>VLOOKUP(C24:C48,Table1[],2,0)</f>
        <v>antibiotic</v>
      </c>
      <c r="E24" s="4" t="s">
        <v>45</v>
      </c>
      <c r="F24" s="4" t="str">
        <f>VLOOKUP(E23:E49,Table2[#All],2,0)</f>
        <v>PUNE</v>
      </c>
      <c r="G24" s="4">
        <v>19</v>
      </c>
      <c r="H24" s="5">
        <f>VLOOKUP(C23:C50,Table1[#All],3,0)</f>
        <v>1560</v>
      </c>
      <c r="I24" s="5">
        <f t="shared" si="0"/>
        <v>29640</v>
      </c>
      <c r="Q24" t="s">
        <v>48</v>
      </c>
      <c r="R24" t="s">
        <v>53</v>
      </c>
    </row>
    <row r="25" spans="2:19" x14ac:dyDescent="0.3">
      <c r="B25" s="3">
        <v>46030</v>
      </c>
      <c r="C25" s="4" t="s">
        <v>20</v>
      </c>
      <c r="D25" s="4" t="str">
        <f>VLOOKUP(C25:C49,Table1[],2,0)</f>
        <v>analgesic</v>
      </c>
      <c r="E25" s="4" t="s">
        <v>47</v>
      </c>
      <c r="F25" s="4" t="str">
        <f>VLOOKUP(E24:E50,Table2[#All],2,0)</f>
        <v>MUMBAI</v>
      </c>
      <c r="G25" s="4">
        <v>26</v>
      </c>
      <c r="H25" s="5">
        <f>VLOOKUP(C24:C51,Table1[#All],3,0)</f>
        <v>800</v>
      </c>
      <c r="I25" s="5">
        <f t="shared" si="0"/>
        <v>20800</v>
      </c>
      <c r="Q25" t="s">
        <v>54</v>
      </c>
      <c r="R25" t="s">
        <v>58</v>
      </c>
    </row>
    <row r="26" spans="2:19" x14ac:dyDescent="0.3">
      <c r="B26" s="3">
        <v>46030</v>
      </c>
      <c r="C26" s="4" t="s">
        <v>20</v>
      </c>
      <c r="D26" s="4" t="str">
        <f>VLOOKUP(C26:C50,Table1[],2,0)</f>
        <v>analgesic</v>
      </c>
      <c r="E26" s="4" t="s">
        <v>47</v>
      </c>
      <c r="F26" s="4" t="str">
        <f>VLOOKUP(E25:E51,Table2[#All],2,0)</f>
        <v>MUMBAI</v>
      </c>
      <c r="G26" s="4">
        <v>34</v>
      </c>
      <c r="H26" s="5">
        <f>VLOOKUP(C25:C52,Table1[#All],3,0)</f>
        <v>800</v>
      </c>
      <c r="I26" s="5">
        <f t="shared" si="0"/>
        <v>27200</v>
      </c>
      <c r="Q26" t="s">
        <v>55</v>
      </c>
      <c r="R26" t="s">
        <v>59</v>
      </c>
    </row>
    <row r="27" spans="2:19" x14ac:dyDescent="0.3">
      <c r="B27" s="3">
        <v>46030</v>
      </c>
      <c r="C27" s="4" t="s">
        <v>10</v>
      </c>
      <c r="D27" s="4" t="str">
        <f>VLOOKUP(C27:C51,Table1[],2,0)</f>
        <v>antacids</v>
      </c>
      <c r="E27" s="4" t="s">
        <v>47</v>
      </c>
      <c r="F27" s="4" t="str">
        <f>VLOOKUP(E26:E52,Table2[#All],2,0)</f>
        <v>MUMBAI</v>
      </c>
      <c r="G27" s="4">
        <v>15</v>
      </c>
      <c r="H27" s="5">
        <f>VLOOKUP(C26:C53,Table1[#All],3,0)</f>
        <v>1658</v>
      </c>
      <c r="I27" s="5">
        <f t="shared" si="0"/>
        <v>24870</v>
      </c>
      <c r="Q27" t="s">
        <v>56</v>
      </c>
      <c r="R27" t="s">
        <v>50</v>
      </c>
    </row>
    <row r="28" spans="2:19" x14ac:dyDescent="0.3">
      <c r="B28" s="3">
        <v>46030</v>
      </c>
      <c r="C28" s="4" t="s">
        <v>19</v>
      </c>
      <c r="D28" s="4" t="str">
        <f>VLOOKUP(C28:C52,Table1[],2,0)</f>
        <v>antibiotic</v>
      </c>
      <c r="E28" s="4" t="s">
        <v>60</v>
      </c>
      <c r="F28" s="4" t="str">
        <f>VLOOKUP(E27:E53,Table2[#All],2,0)</f>
        <v>BANGLORE</v>
      </c>
      <c r="G28" s="4">
        <v>10</v>
      </c>
      <c r="H28" s="5">
        <f>VLOOKUP(C27:C54,Table1[#All],3,0)</f>
        <v>1560</v>
      </c>
      <c r="I28" s="5">
        <f t="shared" si="0"/>
        <v>15600</v>
      </c>
      <c r="Q28" t="s">
        <v>57</v>
      </c>
      <c r="R28" t="s">
        <v>51</v>
      </c>
    </row>
    <row r="29" spans="2:19" x14ac:dyDescent="0.3">
      <c r="B29" s="3">
        <v>46078</v>
      </c>
      <c r="C29" s="4" t="s">
        <v>8</v>
      </c>
      <c r="D29" s="4" t="str">
        <f>VLOOKUP(C29:C53,Table1[],2,0)</f>
        <v>analgesic</v>
      </c>
      <c r="E29" s="4" t="s">
        <v>55</v>
      </c>
      <c r="F29" s="4" t="str">
        <f>VLOOKUP(E28:E54,Table2[#All],2,0)</f>
        <v>NAGPUR</v>
      </c>
      <c r="G29" s="4">
        <v>20</v>
      </c>
      <c r="H29" s="5">
        <f>VLOOKUP(C28:C55,Table1[#All],3,0)</f>
        <v>2100</v>
      </c>
      <c r="I29" s="5">
        <f t="shared" si="0"/>
        <v>42000</v>
      </c>
      <c r="Q29" t="s">
        <v>60</v>
      </c>
      <c r="R29" t="s">
        <v>49</v>
      </c>
    </row>
    <row r="30" spans="2:19" x14ac:dyDescent="0.3">
      <c r="B30" s="3">
        <v>46078</v>
      </c>
      <c r="C30" s="4" t="s">
        <v>8</v>
      </c>
      <c r="D30" s="4" t="str">
        <f>VLOOKUP(C30:C54,Table1[],2,0)</f>
        <v>analgesic</v>
      </c>
      <c r="E30" s="4" t="s">
        <v>55</v>
      </c>
      <c r="F30" s="4" t="str">
        <f>VLOOKUP(E29:E55,Table2[#All],2,0)</f>
        <v>NAGPUR</v>
      </c>
      <c r="G30" s="4">
        <v>23</v>
      </c>
      <c r="H30" s="5">
        <f>VLOOKUP(C29:C56,Table1[#All],3,0)</f>
        <v>2100</v>
      </c>
      <c r="I30" s="5">
        <f t="shared" si="0"/>
        <v>48300</v>
      </c>
      <c r="Q30" t="s">
        <v>61</v>
      </c>
      <c r="R30" t="s">
        <v>52</v>
      </c>
    </row>
    <row r="31" spans="2:19" x14ac:dyDescent="0.3">
      <c r="B31" s="3">
        <v>46078</v>
      </c>
      <c r="C31" s="4" t="s">
        <v>12</v>
      </c>
      <c r="D31" s="4" t="str">
        <f>VLOOKUP(C31:C55,Table1[],2,0)</f>
        <v>antihistamines</v>
      </c>
      <c r="E31" s="4" t="s">
        <v>55</v>
      </c>
      <c r="F31" s="4" t="str">
        <f>VLOOKUP(E30:E56,Table2[#All],2,0)</f>
        <v>NAGPUR</v>
      </c>
      <c r="G31" s="4">
        <v>55</v>
      </c>
      <c r="H31" s="5">
        <f>VLOOKUP(C30:C57,Table1[#All],3,0)</f>
        <v>1400</v>
      </c>
      <c r="I31" s="5">
        <f t="shared" si="0"/>
        <v>77000</v>
      </c>
      <c r="Q31" t="s">
        <v>62</v>
      </c>
      <c r="R31" t="s">
        <v>53</v>
      </c>
    </row>
    <row r="32" spans="2:19" x14ac:dyDescent="0.3">
      <c r="B32" s="3">
        <v>46078</v>
      </c>
      <c r="C32" s="4" t="s">
        <v>12</v>
      </c>
      <c r="D32" s="4" t="str">
        <f>VLOOKUP(C32:C56,Table1[],2,0)</f>
        <v>antihistamines</v>
      </c>
      <c r="E32" s="4" t="s">
        <v>64</v>
      </c>
      <c r="F32" s="4" t="str">
        <f>VLOOKUP(E31:E57,Table2[#All],2,0)</f>
        <v>NAGPUR</v>
      </c>
      <c r="G32" s="4">
        <v>14</v>
      </c>
      <c r="H32" s="5">
        <f>VLOOKUP(C31:C58,Table1[#All],3,0)</f>
        <v>1400</v>
      </c>
      <c r="I32" s="5">
        <f t="shared" si="0"/>
        <v>19600</v>
      </c>
      <c r="Q32" t="s">
        <v>63</v>
      </c>
      <c r="R32" t="s">
        <v>58</v>
      </c>
    </row>
    <row r="33" spans="2:18" x14ac:dyDescent="0.3">
      <c r="B33" s="3">
        <v>46078</v>
      </c>
      <c r="C33" s="4" t="s">
        <v>12</v>
      </c>
      <c r="D33" s="4" t="str">
        <f>VLOOKUP(C33:C57,Table1[],2,0)</f>
        <v>antihistamines</v>
      </c>
      <c r="E33" s="4" t="s">
        <v>48</v>
      </c>
      <c r="F33" s="4" t="str">
        <f>VLOOKUP(E32:E58,Table2[#All],2,0)</f>
        <v>CHENNAI</v>
      </c>
      <c r="G33" s="4">
        <v>16</v>
      </c>
      <c r="H33" s="5">
        <f>VLOOKUP(C32:C59,Table1[#All],3,0)</f>
        <v>1400</v>
      </c>
      <c r="I33" s="5">
        <f t="shared" si="0"/>
        <v>22400</v>
      </c>
      <c r="Q33" t="s">
        <v>64</v>
      </c>
      <c r="R33" t="s">
        <v>59</v>
      </c>
    </row>
    <row r="34" spans="2:18" x14ac:dyDescent="0.3">
      <c r="B34" s="3">
        <v>46078</v>
      </c>
      <c r="C34" s="4" t="s">
        <v>8</v>
      </c>
      <c r="D34" s="4" t="str">
        <f>VLOOKUP(C34:C58,Table1[],2,0)</f>
        <v>analgesic</v>
      </c>
      <c r="E34" s="4" t="s">
        <v>48</v>
      </c>
      <c r="F34" s="4" t="str">
        <f>VLOOKUP(E33:E59,Table2[#All],2,0)</f>
        <v>CHENNAI</v>
      </c>
      <c r="G34" s="4">
        <v>9</v>
      </c>
      <c r="H34" s="5">
        <f>VLOOKUP(C33:C60,Table1[#All],3,0)</f>
        <v>2100</v>
      </c>
      <c r="I34" s="5">
        <f t="shared" si="0"/>
        <v>18900</v>
      </c>
    </row>
    <row r="35" spans="2:18" x14ac:dyDescent="0.3">
      <c r="B35" s="3">
        <v>46078</v>
      </c>
      <c r="C35" s="4" t="s">
        <v>13</v>
      </c>
      <c r="D35" s="4" t="str">
        <f>VLOOKUP(C35:C59,Table1[],2,0)</f>
        <v>antipyretic</v>
      </c>
      <c r="E35" s="4" t="s">
        <v>64</v>
      </c>
      <c r="F35" s="4" t="str">
        <f>VLOOKUP(E34:E60,Table2[#All],2,0)</f>
        <v>NAGPUR</v>
      </c>
      <c r="G35" s="4">
        <v>18</v>
      </c>
      <c r="H35" s="5">
        <f>VLOOKUP(C34:C61,Table1[#All],3,0)</f>
        <v>5400</v>
      </c>
      <c r="I35" s="5">
        <f t="shared" si="0"/>
        <v>97200</v>
      </c>
    </row>
    <row r="36" spans="2:18" x14ac:dyDescent="0.3">
      <c r="B36" s="3">
        <v>46078</v>
      </c>
      <c r="C36" s="4" t="s">
        <v>13</v>
      </c>
      <c r="D36" s="4" t="str">
        <f>VLOOKUP(C36:C60,Table1[],2,0)</f>
        <v>antipyretic</v>
      </c>
      <c r="E36" s="4" t="s">
        <v>62</v>
      </c>
      <c r="F36" s="4" t="str">
        <f>VLOOKUP(E35:E61,Table2[#All],2,0)</f>
        <v>CHENNAI</v>
      </c>
      <c r="G36" s="4">
        <v>6</v>
      </c>
      <c r="H36" s="5">
        <f>VLOOKUP(C35:C62,Table1[#All],3,0)</f>
        <v>5400</v>
      </c>
      <c r="I36" s="5">
        <f t="shared" si="0"/>
        <v>32400</v>
      </c>
    </row>
    <row r="37" spans="2:18" x14ac:dyDescent="0.3">
      <c r="B37" s="3">
        <v>46078</v>
      </c>
      <c r="C37" s="4" t="s">
        <v>15</v>
      </c>
      <c r="D37" s="4" t="s">
        <v>40</v>
      </c>
      <c r="E37" s="4" t="s">
        <v>64</v>
      </c>
      <c r="F37" s="4" t="str">
        <f>VLOOKUP(E36:E62,Table2[#All],2,0)</f>
        <v>NAGPUR</v>
      </c>
      <c r="G37" s="4">
        <v>30</v>
      </c>
      <c r="H37" s="5">
        <v>300</v>
      </c>
      <c r="I37" s="5">
        <f t="shared" si="0"/>
        <v>9000</v>
      </c>
    </row>
    <row r="38" spans="2:18" x14ac:dyDescent="0.3">
      <c r="B38" s="3">
        <v>46078</v>
      </c>
      <c r="C38" s="4" t="s">
        <v>16</v>
      </c>
      <c r="D38" s="4" t="str">
        <f>VLOOKUP(C38:C62,Table1[],2,0)</f>
        <v>antibacterial</v>
      </c>
      <c r="E38" s="4" t="s">
        <v>64</v>
      </c>
      <c r="F38" s="4" t="str">
        <f>VLOOKUP(E37:E63,Table2[#All],2,0)</f>
        <v>NAGPUR</v>
      </c>
      <c r="G38" s="4">
        <v>17</v>
      </c>
      <c r="H38" s="5">
        <f>VLOOKUP(C37:C64,Table1[#All],3,0)</f>
        <v>1600</v>
      </c>
      <c r="I38" s="5">
        <f t="shared" si="0"/>
        <v>27200</v>
      </c>
    </row>
    <row r="39" spans="2:18" x14ac:dyDescent="0.3">
      <c r="B39" s="3">
        <v>46078</v>
      </c>
      <c r="C39" s="4" t="s">
        <v>15</v>
      </c>
      <c r="D39" s="4" t="s">
        <v>40</v>
      </c>
      <c r="E39" s="4" t="s">
        <v>64</v>
      </c>
      <c r="F39" s="4" t="str">
        <f>VLOOKUP(E38:E64,Table2[#All],2,0)</f>
        <v>NAGPUR</v>
      </c>
      <c r="G39" s="4">
        <v>9</v>
      </c>
      <c r="H39" s="5">
        <v>300</v>
      </c>
      <c r="I39" s="5">
        <f t="shared" si="0"/>
        <v>2700</v>
      </c>
    </row>
    <row r="40" spans="2:18" x14ac:dyDescent="0.3">
      <c r="B40" s="3">
        <v>46078</v>
      </c>
      <c r="C40" s="4" t="s">
        <v>17</v>
      </c>
      <c r="D40" s="4" t="str">
        <f>VLOOKUP(C40:C64,Table1[],2,0)</f>
        <v>antidiabetic</v>
      </c>
      <c r="E40" s="4" t="s">
        <v>61</v>
      </c>
      <c r="F40" s="4" t="str">
        <f>VLOOKUP(E39:E65,Table2[#All],2,0)</f>
        <v>HYDERABAD</v>
      </c>
      <c r="G40" s="4">
        <v>22</v>
      </c>
      <c r="H40" s="5">
        <f>VLOOKUP(C39:C66,Table1[#All],3,0)</f>
        <v>1080</v>
      </c>
      <c r="I40" s="5">
        <f t="shared" si="0"/>
        <v>23760</v>
      </c>
    </row>
    <row r="41" spans="2:18" x14ac:dyDescent="0.3">
      <c r="B41" s="3">
        <v>46078</v>
      </c>
      <c r="C41" s="4" t="s">
        <v>8</v>
      </c>
      <c r="D41" s="4" t="str">
        <f>VLOOKUP(C41:C65,Table1[],2,0)</f>
        <v>analgesic</v>
      </c>
      <c r="E41" s="4" t="s">
        <v>61</v>
      </c>
      <c r="F41" s="4" t="str">
        <f>VLOOKUP(E40:E66,Table2[#All],2,0)</f>
        <v>HYDERABAD</v>
      </c>
      <c r="G41" s="4">
        <v>16</v>
      </c>
      <c r="H41" s="5">
        <f>VLOOKUP(C40:C67,Table1[#All],3,0)</f>
        <v>2100</v>
      </c>
      <c r="I41" s="5">
        <f t="shared" si="0"/>
        <v>33600</v>
      </c>
    </row>
    <row r="42" spans="2:18" x14ac:dyDescent="0.3">
      <c r="B42" s="3">
        <v>46078</v>
      </c>
      <c r="C42" s="4" t="s">
        <v>17</v>
      </c>
      <c r="D42" s="4" t="str">
        <f>VLOOKUP(C42:C66,Table1[],2,0)</f>
        <v>antidiabetic</v>
      </c>
      <c r="E42" s="4" t="s">
        <v>60</v>
      </c>
      <c r="F42" s="4" t="str">
        <f>VLOOKUP(E41:E67,Table2[#All],2,0)</f>
        <v>BANGLORE</v>
      </c>
      <c r="G42" s="4">
        <v>4</v>
      </c>
      <c r="H42" s="5">
        <f>VLOOKUP(C41:C68,Table1[#All],3,0)</f>
        <v>1080</v>
      </c>
      <c r="I42" s="5">
        <f t="shared" si="0"/>
        <v>4320</v>
      </c>
    </row>
    <row r="43" spans="2:18" x14ac:dyDescent="0.3">
      <c r="B43" s="3">
        <v>46078</v>
      </c>
      <c r="C43" s="4" t="s">
        <v>18</v>
      </c>
      <c r="D43" s="4" t="s">
        <v>39</v>
      </c>
      <c r="E43" s="4" t="s">
        <v>60</v>
      </c>
      <c r="F43" s="4" t="str">
        <f>VLOOKUP(E42:E68,Table2[#All],2,0)</f>
        <v>BANGLORE</v>
      </c>
      <c r="G43" s="4">
        <v>53</v>
      </c>
      <c r="H43" s="5">
        <v>3200</v>
      </c>
      <c r="I43" s="5">
        <f t="shared" si="0"/>
        <v>169600</v>
      </c>
    </row>
    <row r="44" spans="2:18" x14ac:dyDescent="0.3">
      <c r="B44" s="3">
        <v>46078</v>
      </c>
      <c r="C44" s="4" t="s">
        <v>8</v>
      </c>
      <c r="D44" s="4" t="str">
        <f>VLOOKUP(C44:C68,Table1[],2,0)</f>
        <v>analgesic</v>
      </c>
      <c r="E44" s="4" t="s">
        <v>60</v>
      </c>
      <c r="F44" s="4" t="str">
        <f>VLOOKUP(E43:E69,Table2[#All],2,0)</f>
        <v>BANGLORE</v>
      </c>
      <c r="G44" s="4">
        <v>13</v>
      </c>
      <c r="H44" s="5">
        <f>VLOOKUP(C43:C70,Table1[#All],3,0)</f>
        <v>2100</v>
      </c>
      <c r="I44" s="5">
        <f t="shared" si="0"/>
        <v>27300</v>
      </c>
    </row>
    <row r="45" spans="2:18" x14ac:dyDescent="0.3">
      <c r="B45" s="3">
        <v>46078</v>
      </c>
      <c r="C45" s="4" t="s">
        <v>16</v>
      </c>
      <c r="D45" s="4" t="str">
        <f>VLOOKUP(C45:C69,Table1[],2,0)</f>
        <v>antibacterial</v>
      </c>
      <c r="E45" s="4" t="s">
        <v>63</v>
      </c>
      <c r="F45" s="4" t="str">
        <f>VLOOKUP(E44:E70,Table2[#All],2,0)</f>
        <v>DELHI</v>
      </c>
      <c r="G45" s="4">
        <v>7</v>
      </c>
      <c r="H45" s="5">
        <f>VLOOKUP(C44:C71,Table1[#All],3,0)</f>
        <v>1600</v>
      </c>
      <c r="I45" s="5">
        <f t="shared" si="0"/>
        <v>11200</v>
      </c>
    </row>
    <row r="46" spans="2:18" x14ac:dyDescent="0.3">
      <c r="B46" s="3">
        <v>46078</v>
      </c>
      <c r="C46" s="4" t="s">
        <v>13</v>
      </c>
      <c r="D46" s="4" t="str">
        <f>VLOOKUP(C46:C70,Table1[],2,0)</f>
        <v>antipyretic</v>
      </c>
      <c r="E46" s="4" t="s">
        <v>63</v>
      </c>
      <c r="F46" s="4" t="str">
        <f>VLOOKUP(E45:E71,Table2[#All],2,0)</f>
        <v>DELHI</v>
      </c>
      <c r="G46" s="4">
        <v>20</v>
      </c>
      <c r="H46" s="5">
        <f>VLOOKUP(C45:C72,Table1[#All],3,0)</f>
        <v>5400</v>
      </c>
      <c r="I46" s="5">
        <f t="shared" si="0"/>
        <v>108000</v>
      </c>
    </row>
    <row r="47" spans="2:18" x14ac:dyDescent="0.3">
      <c r="B47" s="3">
        <v>46078</v>
      </c>
      <c r="C47" s="4" t="s">
        <v>16</v>
      </c>
      <c r="D47" s="4" t="str">
        <f>VLOOKUP(C47:C71,Table1[],2,0)</f>
        <v>antibacterial</v>
      </c>
      <c r="E47" s="4" t="s">
        <v>63</v>
      </c>
      <c r="F47" s="4" t="str">
        <f>VLOOKUP(E46:E72,Table2[#All],2,0)</f>
        <v>DELHI</v>
      </c>
      <c r="G47" s="4">
        <v>25</v>
      </c>
      <c r="H47" s="5">
        <f>VLOOKUP(C46:C73,Table1[#All],3,0)</f>
        <v>1600</v>
      </c>
      <c r="I47" s="5">
        <f t="shared" si="0"/>
        <v>40000</v>
      </c>
    </row>
    <row r="48" spans="2:18" x14ac:dyDescent="0.3">
      <c r="B48" s="3">
        <v>46078</v>
      </c>
      <c r="C48" s="4" t="s">
        <v>12</v>
      </c>
      <c r="D48" s="4" t="str">
        <f>VLOOKUP(C48:C72,Table1[],2,0)</f>
        <v>antihistamines</v>
      </c>
      <c r="E48" s="4" t="s">
        <v>48</v>
      </c>
      <c r="F48" s="4" t="str">
        <f>VLOOKUP(E47:E73,Table2[#All],2,0)</f>
        <v>CHENNAI</v>
      </c>
      <c r="G48" s="4">
        <v>13</v>
      </c>
      <c r="H48" s="5">
        <f>VLOOKUP(C47:C74,Table1[#All],3,0)</f>
        <v>1400</v>
      </c>
      <c r="I48" s="5">
        <f t="shared" si="0"/>
        <v>18200</v>
      </c>
    </row>
    <row r="49" spans="2:9" x14ac:dyDescent="0.3">
      <c r="B49" s="3">
        <v>46078</v>
      </c>
      <c r="C49" s="4" t="s">
        <v>14</v>
      </c>
      <c r="D49" s="4" t="str">
        <f>VLOOKUP(C49:C73,Table1[],2,0)</f>
        <v>vitamins</v>
      </c>
      <c r="E49" s="4" t="s">
        <v>48</v>
      </c>
      <c r="F49" s="4" t="str">
        <f>VLOOKUP(E48:E74,Table2[#All],2,0)</f>
        <v>CHENNAI</v>
      </c>
      <c r="G49" s="4">
        <v>11</v>
      </c>
      <c r="H49" s="5">
        <f>VLOOKUP(C48:C75,Table1[#All],3,0)</f>
        <v>425</v>
      </c>
      <c r="I49" s="5">
        <f t="shared" si="0"/>
        <v>4675</v>
      </c>
    </row>
    <row r="50" spans="2:9" x14ac:dyDescent="0.3">
      <c r="B50" s="3">
        <v>46078</v>
      </c>
      <c r="C50" s="4" t="s">
        <v>18</v>
      </c>
      <c r="D50" s="4" t="s">
        <v>39</v>
      </c>
      <c r="E50" s="4" t="s">
        <v>54</v>
      </c>
      <c r="F50" s="4" t="str">
        <f>VLOOKUP(E49:E75,Table2[#All],2,0)</f>
        <v>DELHI</v>
      </c>
      <c r="G50" s="4">
        <v>10</v>
      </c>
      <c r="H50" s="5">
        <v>3200</v>
      </c>
      <c r="I50" s="5">
        <f t="shared" si="0"/>
        <v>32000</v>
      </c>
    </row>
    <row r="51" spans="2:9" x14ac:dyDescent="0.3">
      <c r="B51" s="3">
        <v>46078</v>
      </c>
      <c r="C51" s="4" t="s">
        <v>19</v>
      </c>
      <c r="D51" s="4" t="str">
        <f>VLOOKUP(C51:C75,Table1[],2,0)</f>
        <v>antibiotic</v>
      </c>
      <c r="E51" s="4" t="s">
        <v>54</v>
      </c>
      <c r="F51" s="4" t="str">
        <f>VLOOKUP(E50:E76,Table2[#All],2,0)</f>
        <v>DELHI</v>
      </c>
      <c r="G51" s="4">
        <v>5</v>
      </c>
      <c r="H51" s="5">
        <f>VLOOKUP(C50:C77,Table1[#All],3,0)</f>
        <v>1560</v>
      </c>
      <c r="I51" s="5">
        <f t="shared" si="0"/>
        <v>7800</v>
      </c>
    </row>
    <row r="52" spans="2:9" x14ac:dyDescent="0.3">
      <c r="B52" s="3">
        <v>46078</v>
      </c>
      <c r="C52" s="4" t="s">
        <v>20</v>
      </c>
      <c r="D52" s="4" t="str">
        <f>VLOOKUP(C52:C76,Table1[],2,0)</f>
        <v>analgesic</v>
      </c>
      <c r="E52" s="4" t="s">
        <v>45</v>
      </c>
      <c r="F52" s="4" t="str">
        <f>VLOOKUP(E51:E77,Table2[#All],2,0)</f>
        <v>PUNE</v>
      </c>
      <c r="G52" s="4">
        <v>14</v>
      </c>
      <c r="H52" s="5">
        <f>VLOOKUP(C51:C78,Table1[#All],3,0)</f>
        <v>800</v>
      </c>
      <c r="I52" s="5">
        <f t="shared" si="0"/>
        <v>11200</v>
      </c>
    </row>
    <row r="53" spans="2:9" x14ac:dyDescent="0.3">
      <c r="B53" s="3">
        <v>46078</v>
      </c>
      <c r="C53" s="4" t="s">
        <v>20</v>
      </c>
      <c r="D53" s="4" t="str">
        <f>VLOOKUP(C53:C77,Table1[],2,0)</f>
        <v>analgesic</v>
      </c>
      <c r="E53" s="4" t="s">
        <v>45</v>
      </c>
      <c r="F53" s="4" t="str">
        <f>VLOOKUP(E52:E78,Table2[#All],2,0)</f>
        <v>PUNE</v>
      </c>
      <c r="G53" s="4">
        <v>6</v>
      </c>
      <c r="H53" s="5">
        <f>VLOOKUP(C52:C79,Table1[#All],3,0)</f>
        <v>800</v>
      </c>
      <c r="I53" s="5">
        <f t="shared" si="0"/>
        <v>4800</v>
      </c>
    </row>
    <row r="54" spans="2:9" x14ac:dyDescent="0.3">
      <c r="B54" s="3">
        <v>46078</v>
      </c>
      <c r="C54" s="4" t="s">
        <v>10</v>
      </c>
      <c r="D54" s="4" t="str">
        <f>VLOOKUP(C54:C78,Table1[],2,0)</f>
        <v>antacids</v>
      </c>
      <c r="E54" s="4" t="s">
        <v>55</v>
      </c>
      <c r="F54" s="4" t="str">
        <f>VLOOKUP(E53:E79,Table2[#All],2,0)</f>
        <v>NAGPUR</v>
      </c>
      <c r="G54" s="4">
        <v>28</v>
      </c>
      <c r="H54" s="5">
        <f>VLOOKUP(C53:C80,Table1[#All],3,0)</f>
        <v>1658</v>
      </c>
      <c r="I54" s="5">
        <f t="shared" si="0"/>
        <v>46424</v>
      </c>
    </row>
    <row r="55" spans="2:9" x14ac:dyDescent="0.3">
      <c r="B55" s="3">
        <v>46078</v>
      </c>
      <c r="C55" s="4" t="s">
        <v>19</v>
      </c>
      <c r="D55" s="4" t="str">
        <f>VLOOKUP(C55:C79,Table1[],2,0)</f>
        <v>antibiotic</v>
      </c>
      <c r="E55" s="4" t="s">
        <v>55</v>
      </c>
      <c r="F55" s="4" t="str">
        <f>VLOOKUP(E54:E80,Table2[#All],2,0)</f>
        <v>NAGPUR</v>
      </c>
      <c r="G55" s="4">
        <v>17</v>
      </c>
      <c r="H55" s="5">
        <f>VLOOKUP(C54:C81,Table1[#All],3,0)</f>
        <v>1560</v>
      </c>
      <c r="I55" s="5">
        <f t="shared" si="0"/>
        <v>26520</v>
      </c>
    </row>
    <row r="56" spans="2:9" x14ac:dyDescent="0.3">
      <c r="B56" s="3">
        <v>46091</v>
      </c>
      <c r="C56" s="4" t="s">
        <v>20</v>
      </c>
      <c r="D56" s="4" t="str">
        <f>VLOOKUP(C56:C80,Table1[],2,0)</f>
        <v>analgesic</v>
      </c>
      <c r="E56" s="4" t="s">
        <v>56</v>
      </c>
      <c r="F56" s="4" t="str">
        <f>VLOOKUP(E55:E81,Table2[#All],2,0)</f>
        <v>PUNE</v>
      </c>
      <c r="G56" s="4">
        <v>30</v>
      </c>
      <c r="H56" s="5">
        <f>VLOOKUP(C55:C82,Table1[#All],3,0)</f>
        <v>800</v>
      </c>
      <c r="I56" s="5">
        <f t="shared" si="0"/>
        <v>24000</v>
      </c>
    </row>
    <row r="57" spans="2:9" x14ac:dyDescent="0.3">
      <c r="B57" s="3">
        <v>46091</v>
      </c>
      <c r="C57" s="4" t="s">
        <v>10</v>
      </c>
      <c r="D57" s="4" t="str">
        <f>VLOOKUP(C57:C81,Table1[],2,0)</f>
        <v>antacids</v>
      </c>
      <c r="E57" s="4" t="s">
        <v>56</v>
      </c>
      <c r="F57" s="4" t="str">
        <f>VLOOKUP(E56:E82,Table2[#All],2,0)</f>
        <v>PUNE</v>
      </c>
      <c r="G57" s="4">
        <v>15</v>
      </c>
      <c r="H57" s="5">
        <f>VLOOKUP(C56:C83,Table1[#All],3,0)</f>
        <v>1658</v>
      </c>
      <c r="I57" s="5">
        <f t="shared" si="0"/>
        <v>24870</v>
      </c>
    </row>
    <row r="58" spans="2:9" x14ac:dyDescent="0.3">
      <c r="B58" s="3">
        <v>46091</v>
      </c>
      <c r="C58" s="4" t="s">
        <v>19</v>
      </c>
      <c r="D58" s="4" t="str">
        <f>VLOOKUP(C58:C82,Table1[],2,0)</f>
        <v>antibiotic</v>
      </c>
      <c r="E58" s="4" t="s">
        <v>56</v>
      </c>
      <c r="F58" s="4" t="str">
        <f>VLOOKUP(E57:E83,Table2[#All],2,0)</f>
        <v>PUNE</v>
      </c>
      <c r="G58" s="4">
        <v>12</v>
      </c>
      <c r="H58" s="5">
        <f>VLOOKUP(C57:C84,Table1[#All],3,0)</f>
        <v>1560</v>
      </c>
      <c r="I58" s="5">
        <f t="shared" si="0"/>
        <v>18720</v>
      </c>
    </row>
    <row r="59" spans="2:9" x14ac:dyDescent="0.3">
      <c r="B59" s="3">
        <v>46091</v>
      </c>
      <c r="C59" s="4" t="s">
        <v>8</v>
      </c>
      <c r="D59" s="4" t="str">
        <f>VLOOKUP(C59:C83,Table1[],2,0)</f>
        <v>analgesic</v>
      </c>
      <c r="E59" s="4" t="s">
        <v>54</v>
      </c>
      <c r="F59" s="4" t="str">
        <f>VLOOKUP(E58:E84,Table2[#All],2,0)</f>
        <v>DELHI</v>
      </c>
      <c r="G59" s="4">
        <v>41</v>
      </c>
      <c r="H59" s="5">
        <f>VLOOKUP(C58:C85,Table1[#All],3,0)</f>
        <v>2100</v>
      </c>
      <c r="I59" s="5">
        <f t="shared" si="0"/>
        <v>86100</v>
      </c>
    </row>
    <row r="60" spans="2:9" x14ac:dyDescent="0.3">
      <c r="B60" s="3">
        <v>46091</v>
      </c>
      <c r="C60" s="4" t="s">
        <v>8</v>
      </c>
      <c r="D60" s="4" t="str">
        <f>VLOOKUP(C60:C84,Table1[],2,0)</f>
        <v>analgesic</v>
      </c>
      <c r="E60" s="4" t="s">
        <v>54</v>
      </c>
      <c r="F60" s="4" t="str">
        <f>VLOOKUP(E59:E85,Table2[#All],2,0)</f>
        <v>DELHI</v>
      </c>
      <c r="G60" s="4">
        <v>30</v>
      </c>
      <c r="H60" s="5">
        <f>VLOOKUP(C59:C86,Table1[#All],3,0)</f>
        <v>2100</v>
      </c>
      <c r="I60" s="5">
        <f t="shared" si="0"/>
        <v>63000</v>
      </c>
    </row>
    <row r="61" spans="2:9" x14ac:dyDescent="0.3">
      <c r="B61" s="3">
        <v>46091</v>
      </c>
      <c r="C61" s="4" t="s">
        <v>12</v>
      </c>
      <c r="D61" s="4" t="str">
        <f>VLOOKUP(C61:C85,Table1[],2,0)</f>
        <v>antihistamines</v>
      </c>
      <c r="E61" s="4" t="s">
        <v>46</v>
      </c>
      <c r="F61" s="4" t="str">
        <f>VLOOKUP(E60:E86,Table2[#All],2,0)</f>
        <v>HYDERABAD</v>
      </c>
      <c r="G61" s="4">
        <v>16</v>
      </c>
      <c r="H61" s="5">
        <f>VLOOKUP(C60:C87,Table1[#All],3,0)</f>
        <v>1400</v>
      </c>
      <c r="I61" s="5">
        <f t="shared" si="0"/>
        <v>22400</v>
      </c>
    </row>
    <row r="62" spans="2:9" x14ac:dyDescent="0.3">
      <c r="B62" s="3">
        <v>46091</v>
      </c>
      <c r="C62" s="4" t="s">
        <v>12</v>
      </c>
      <c r="D62" s="4" t="str">
        <f>VLOOKUP(C62:C86,Table1[],2,0)</f>
        <v>antihistamines</v>
      </c>
      <c r="E62" s="4" t="s">
        <v>46</v>
      </c>
      <c r="F62" s="4" t="str">
        <f>VLOOKUP(E61:E87,Table2[#All],2,0)</f>
        <v>HYDERABAD</v>
      </c>
      <c r="G62" s="4">
        <v>5</v>
      </c>
      <c r="H62" s="5">
        <f>VLOOKUP(C61:C88,Table1[#All],3,0)</f>
        <v>1400</v>
      </c>
      <c r="I62" s="5">
        <f t="shared" si="0"/>
        <v>7000</v>
      </c>
    </row>
    <row r="63" spans="2:9" x14ac:dyDescent="0.3">
      <c r="B63" s="3">
        <v>46091</v>
      </c>
      <c r="C63" s="4" t="s">
        <v>12</v>
      </c>
      <c r="D63" s="4" t="str">
        <f>VLOOKUP(C63:C87,Table1[],2,0)</f>
        <v>antihistamines</v>
      </c>
      <c r="E63" s="4" t="s">
        <v>46</v>
      </c>
      <c r="F63" s="4" t="str">
        <f>VLOOKUP(E62:E88,Table2[#All],2,0)</f>
        <v>HYDERABAD</v>
      </c>
      <c r="G63" s="4">
        <v>29</v>
      </c>
      <c r="H63" s="5">
        <f>VLOOKUP(C62:C89,Table1[#All],3,0)</f>
        <v>1400</v>
      </c>
      <c r="I63" s="5">
        <f t="shared" si="0"/>
        <v>40600</v>
      </c>
    </row>
    <row r="64" spans="2:9" x14ac:dyDescent="0.3">
      <c r="B64" s="3">
        <v>46091</v>
      </c>
      <c r="C64" s="4" t="s">
        <v>8</v>
      </c>
      <c r="D64" s="4" t="str">
        <f>VLOOKUP(C64:C88,Table1[],2,0)</f>
        <v>analgesic</v>
      </c>
      <c r="E64" s="4" t="s">
        <v>56</v>
      </c>
      <c r="F64" s="4" t="str">
        <f>VLOOKUP(E63:E89,Table2[#All],2,0)</f>
        <v>PUNE</v>
      </c>
      <c r="G64" s="4">
        <v>22</v>
      </c>
      <c r="H64" s="5">
        <f>VLOOKUP(C63:C90,Table1[#All],3,0)</f>
        <v>2100</v>
      </c>
      <c r="I64" s="5">
        <f t="shared" si="0"/>
        <v>46200</v>
      </c>
    </row>
    <row r="65" spans="2:9" x14ac:dyDescent="0.3">
      <c r="B65" s="3">
        <v>46091</v>
      </c>
      <c r="C65" s="4" t="s">
        <v>13</v>
      </c>
      <c r="D65" s="4" t="str">
        <f>VLOOKUP(C65:C89,Table1[],2,0)</f>
        <v>antipyretic</v>
      </c>
      <c r="E65" s="4" t="s">
        <v>55</v>
      </c>
      <c r="F65" s="4" t="str">
        <f>VLOOKUP(E64:E90,Table2[#All],2,0)</f>
        <v>NAGPUR</v>
      </c>
      <c r="G65" s="4">
        <v>8</v>
      </c>
      <c r="H65" s="5">
        <f>VLOOKUP(C64:C91,Table1[#All],3,0)</f>
        <v>5400</v>
      </c>
      <c r="I65" s="5">
        <f t="shared" si="0"/>
        <v>43200</v>
      </c>
    </row>
    <row r="66" spans="2:9" x14ac:dyDescent="0.3">
      <c r="B66" s="3">
        <v>46091</v>
      </c>
      <c r="C66" s="4" t="s">
        <v>13</v>
      </c>
      <c r="D66" s="4" t="str">
        <f>VLOOKUP(C66:C90,Table1[],2,0)</f>
        <v>antipyretic</v>
      </c>
      <c r="E66" s="4" t="s">
        <v>55</v>
      </c>
      <c r="F66" s="4" t="str">
        <f>VLOOKUP(E65:E91,Table2[#All],2,0)</f>
        <v>NAGPUR</v>
      </c>
      <c r="G66" s="4">
        <v>20</v>
      </c>
      <c r="H66" s="5">
        <f>VLOOKUP(C65:C92,Table1[#All],3,0)</f>
        <v>5400</v>
      </c>
      <c r="I66" s="5">
        <f t="shared" si="0"/>
        <v>108000</v>
      </c>
    </row>
    <row r="67" spans="2:9" x14ac:dyDescent="0.3">
      <c r="B67" s="3">
        <v>46091</v>
      </c>
      <c r="C67" s="4" t="s">
        <v>15</v>
      </c>
      <c r="D67" s="4" t="s">
        <v>40</v>
      </c>
      <c r="E67" s="4" t="s">
        <v>44</v>
      </c>
      <c r="F67" s="4" t="str">
        <f>VLOOKUP(E66:E92,Table2[#All],2,0)</f>
        <v>BANGLORE</v>
      </c>
      <c r="G67" s="4">
        <v>15</v>
      </c>
      <c r="H67" s="5">
        <v>300</v>
      </c>
      <c r="I67" s="5">
        <f t="shared" ref="I67:I130" si="1">G:G*H:H</f>
        <v>4500</v>
      </c>
    </row>
    <row r="68" spans="2:9" x14ac:dyDescent="0.3">
      <c r="B68" s="3">
        <v>46091</v>
      </c>
      <c r="C68" s="4" t="s">
        <v>16</v>
      </c>
      <c r="D68" s="4" t="str">
        <f>VLOOKUP(C68:C92,Table1[],2,0)</f>
        <v>antibacterial</v>
      </c>
      <c r="E68" s="4" t="s">
        <v>44</v>
      </c>
      <c r="F68" s="4" t="str">
        <f>VLOOKUP(E67:E93,Table2[#All],2,0)</f>
        <v>BANGLORE</v>
      </c>
      <c r="G68" s="4">
        <v>33</v>
      </c>
      <c r="H68" s="5">
        <f>VLOOKUP(C67:C94,Table1[#All],3,0)</f>
        <v>1600</v>
      </c>
      <c r="I68" s="5">
        <f t="shared" si="1"/>
        <v>52800</v>
      </c>
    </row>
    <row r="69" spans="2:9" x14ac:dyDescent="0.3">
      <c r="B69" s="3">
        <v>46091</v>
      </c>
      <c r="C69" s="4" t="s">
        <v>15</v>
      </c>
      <c r="D69" s="4" t="s">
        <v>40</v>
      </c>
      <c r="E69" s="4" t="s">
        <v>44</v>
      </c>
      <c r="F69" s="4" t="str">
        <f>VLOOKUP(E68:E94,Table2[#All],2,0)</f>
        <v>BANGLORE</v>
      </c>
      <c r="G69" s="4">
        <v>3</v>
      </c>
      <c r="H69" s="5">
        <v>300</v>
      </c>
      <c r="I69" s="5">
        <f t="shared" si="1"/>
        <v>900</v>
      </c>
    </row>
    <row r="70" spans="2:9" x14ac:dyDescent="0.3">
      <c r="B70" s="3">
        <v>46091</v>
      </c>
      <c r="C70" s="4" t="s">
        <v>17</v>
      </c>
      <c r="D70" s="4" t="str">
        <f>VLOOKUP(C70:C94,Table1[],2,0)</f>
        <v>antidiabetic</v>
      </c>
      <c r="E70" s="4" t="s">
        <v>44</v>
      </c>
      <c r="F70" s="4" t="str">
        <f>VLOOKUP(E69:E95,Table2[#All],2,0)</f>
        <v>BANGLORE</v>
      </c>
      <c r="G70" s="4">
        <v>14</v>
      </c>
      <c r="H70" s="5">
        <f>VLOOKUP(C69:C96,Table1[#All],3,0)</f>
        <v>1080</v>
      </c>
      <c r="I70" s="5">
        <f t="shared" si="1"/>
        <v>15120</v>
      </c>
    </row>
    <row r="71" spans="2:9" x14ac:dyDescent="0.3">
      <c r="B71" s="3">
        <v>46091</v>
      </c>
      <c r="C71" s="4" t="s">
        <v>8</v>
      </c>
      <c r="D71" s="4" t="str">
        <f>VLOOKUP(C71:C95,Table1[],2,0)</f>
        <v>analgesic</v>
      </c>
      <c r="E71" s="4" t="s">
        <v>54</v>
      </c>
      <c r="F71" s="4" t="str">
        <f>VLOOKUP(E70:E96,Table2[#All],2,0)</f>
        <v>DELHI</v>
      </c>
      <c r="G71" s="4">
        <v>8</v>
      </c>
      <c r="H71" s="5">
        <f>VLOOKUP(C70:C97,Table1[#All],3,0)</f>
        <v>2100</v>
      </c>
      <c r="I71" s="5">
        <f t="shared" si="1"/>
        <v>16800</v>
      </c>
    </row>
    <row r="72" spans="2:9" x14ac:dyDescent="0.3">
      <c r="B72" s="3">
        <v>46091</v>
      </c>
      <c r="C72" s="4" t="s">
        <v>17</v>
      </c>
      <c r="D72" s="4" t="str">
        <f>VLOOKUP(C72:C96,Table1[],2,0)</f>
        <v>antidiabetic</v>
      </c>
      <c r="E72" s="4" t="s">
        <v>54</v>
      </c>
      <c r="F72" s="4" t="str">
        <f>VLOOKUP(E71:E97,Table2[#All],2,0)</f>
        <v>DELHI</v>
      </c>
      <c r="G72" s="4">
        <v>19</v>
      </c>
      <c r="H72" s="5">
        <f>VLOOKUP(C71:C98,Table1[#All],3,0)</f>
        <v>1080</v>
      </c>
      <c r="I72" s="5">
        <f t="shared" si="1"/>
        <v>20520</v>
      </c>
    </row>
    <row r="73" spans="2:9" x14ac:dyDescent="0.3">
      <c r="B73" s="3">
        <v>46091</v>
      </c>
      <c r="C73" s="4" t="s">
        <v>18</v>
      </c>
      <c r="D73" s="4" t="s">
        <v>39</v>
      </c>
      <c r="E73" s="4" t="s">
        <v>56</v>
      </c>
      <c r="F73" s="4" t="str">
        <f>VLOOKUP(E72:E98,Table2[#All],2,0)</f>
        <v>PUNE</v>
      </c>
      <c r="G73" s="4">
        <v>6</v>
      </c>
      <c r="H73" s="5">
        <v>3200</v>
      </c>
      <c r="I73" s="5">
        <f t="shared" si="1"/>
        <v>19200</v>
      </c>
    </row>
    <row r="74" spans="2:9" x14ac:dyDescent="0.3">
      <c r="B74" s="3">
        <v>46091</v>
      </c>
      <c r="C74" s="4" t="s">
        <v>8</v>
      </c>
      <c r="D74" s="4" t="str">
        <f>VLOOKUP(C74:C98,Table1[],2,0)</f>
        <v>analgesic</v>
      </c>
      <c r="E74" s="4" t="s">
        <v>56</v>
      </c>
      <c r="F74" s="4" t="str">
        <f>VLOOKUP(E73:E99,Table2[#All],2,0)</f>
        <v>PUNE</v>
      </c>
      <c r="G74" s="4">
        <v>15</v>
      </c>
      <c r="H74" s="5">
        <f>VLOOKUP(C73:C100,Table1[#All],3,0)</f>
        <v>2100</v>
      </c>
      <c r="I74" s="5">
        <f t="shared" si="1"/>
        <v>31500</v>
      </c>
    </row>
    <row r="75" spans="2:9" x14ac:dyDescent="0.3">
      <c r="B75" s="3">
        <v>46091</v>
      </c>
      <c r="C75" s="4" t="s">
        <v>16</v>
      </c>
      <c r="D75" s="4" t="str">
        <f>VLOOKUP(C75:C99,Table1[],2,0)</f>
        <v>antibacterial</v>
      </c>
      <c r="E75" s="4" t="s">
        <v>64</v>
      </c>
      <c r="F75" s="4" t="str">
        <f>VLOOKUP(E74:E100,Table2[#All],2,0)</f>
        <v>NAGPUR</v>
      </c>
      <c r="G75" s="4">
        <v>14</v>
      </c>
      <c r="H75" s="5">
        <f>VLOOKUP(C74:C101,Table1[#All],3,0)</f>
        <v>1600</v>
      </c>
      <c r="I75" s="5">
        <f t="shared" si="1"/>
        <v>22400</v>
      </c>
    </row>
    <row r="76" spans="2:9" x14ac:dyDescent="0.3">
      <c r="B76" s="3">
        <v>46091</v>
      </c>
      <c r="C76" s="4" t="s">
        <v>13</v>
      </c>
      <c r="D76" s="4" t="str">
        <f>VLOOKUP(C76:C100,Table1[],2,0)</f>
        <v>antipyretic</v>
      </c>
      <c r="E76" s="4" t="s">
        <v>64</v>
      </c>
      <c r="F76" s="4" t="str">
        <f>VLOOKUP(E75:E101,Table2[#All],2,0)</f>
        <v>NAGPUR</v>
      </c>
      <c r="G76" s="4">
        <v>16</v>
      </c>
      <c r="H76" s="5">
        <f>VLOOKUP(C75:C102,Table1[#All],3,0)</f>
        <v>5400</v>
      </c>
      <c r="I76" s="5">
        <f t="shared" si="1"/>
        <v>86400</v>
      </c>
    </row>
    <row r="77" spans="2:9" x14ac:dyDescent="0.3">
      <c r="B77" s="3">
        <v>46091</v>
      </c>
      <c r="C77" s="4" t="s">
        <v>16</v>
      </c>
      <c r="D77" s="4" t="str">
        <f>VLOOKUP(C77:C101,Table1[],2,0)</f>
        <v>antibacterial</v>
      </c>
      <c r="E77" s="4" t="s">
        <v>46</v>
      </c>
      <c r="F77" s="4" t="str">
        <f>VLOOKUP(E76:E102,Table2[#All],2,0)</f>
        <v>HYDERABAD</v>
      </c>
      <c r="G77" s="4">
        <v>1</v>
      </c>
      <c r="H77" s="5">
        <f>VLOOKUP(C76:C103,Table1[#All],3,0)</f>
        <v>1600</v>
      </c>
      <c r="I77" s="5">
        <f t="shared" si="1"/>
        <v>1600</v>
      </c>
    </row>
    <row r="78" spans="2:9" x14ac:dyDescent="0.3">
      <c r="B78" s="3">
        <v>46091</v>
      </c>
      <c r="C78" s="4" t="s">
        <v>12</v>
      </c>
      <c r="D78" s="4" t="str">
        <f>VLOOKUP(C78:C102,Table1[],2,0)</f>
        <v>antihistamines</v>
      </c>
      <c r="E78" s="4" t="s">
        <v>46</v>
      </c>
      <c r="F78" s="4" t="str">
        <f>VLOOKUP(E77:E103,Table2[#All],2,0)</f>
        <v>HYDERABAD</v>
      </c>
      <c r="G78" s="4">
        <v>12</v>
      </c>
      <c r="H78" s="5">
        <f>VLOOKUP(C77:C104,Table1[#All],3,0)</f>
        <v>1400</v>
      </c>
      <c r="I78" s="5">
        <f t="shared" si="1"/>
        <v>16800</v>
      </c>
    </row>
    <row r="79" spans="2:9" x14ac:dyDescent="0.3">
      <c r="B79" s="3">
        <v>46091</v>
      </c>
      <c r="C79" s="4" t="s">
        <v>15</v>
      </c>
      <c r="D79" s="4" t="s">
        <v>40</v>
      </c>
      <c r="E79" s="4" t="s">
        <v>55</v>
      </c>
      <c r="F79" s="4" t="str">
        <f>VLOOKUP(E78:E104,Table2[#All],2,0)</f>
        <v>NAGPUR</v>
      </c>
      <c r="G79" s="4">
        <v>3</v>
      </c>
      <c r="H79" s="5">
        <v>3200</v>
      </c>
      <c r="I79" s="5">
        <f t="shared" si="1"/>
        <v>9600</v>
      </c>
    </row>
    <row r="80" spans="2:9" x14ac:dyDescent="0.3">
      <c r="B80" s="3">
        <v>46091</v>
      </c>
      <c r="C80" s="4" t="s">
        <v>14</v>
      </c>
      <c r="D80" s="4" t="str">
        <f>VLOOKUP(C80:C104,Table1[],2,0)</f>
        <v>vitamins</v>
      </c>
      <c r="E80" s="4" t="s">
        <v>55</v>
      </c>
      <c r="F80" s="4" t="str">
        <f>VLOOKUP(E79:E105,Table2[#All],2,0)</f>
        <v>NAGPUR</v>
      </c>
      <c r="G80" s="4">
        <v>15</v>
      </c>
      <c r="H80" s="5">
        <f>VLOOKUP(C79:C106,Table1[#All],3,0)</f>
        <v>425</v>
      </c>
      <c r="I80" s="5">
        <f t="shared" si="1"/>
        <v>6375</v>
      </c>
    </row>
    <row r="81" spans="2:9" x14ac:dyDescent="0.3">
      <c r="B81" s="3">
        <v>46117</v>
      </c>
      <c r="C81" s="4" t="s">
        <v>17</v>
      </c>
      <c r="D81" s="4" t="str">
        <f>VLOOKUP(C81:C105,Table1[],2,0)</f>
        <v>antidiabetic</v>
      </c>
      <c r="E81" s="4" t="s">
        <v>54</v>
      </c>
      <c r="F81" s="4" t="str">
        <f>VLOOKUP(E80:E106,Table2[#All],2,0)</f>
        <v>DELHI</v>
      </c>
      <c r="G81" s="4">
        <v>30</v>
      </c>
      <c r="H81" s="5">
        <f>VLOOKUP(C80:C107,Table1[#All],3,0)</f>
        <v>1080</v>
      </c>
      <c r="I81" s="5">
        <f t="shared" si="1"/>
        <v>32400</v>
      </c>
    </row>
    <row r="82" spans="2:9" x14ac:dyDescent="0.3">
      <c r="B82" s="3">
        <v>46117</v>
      </c>
      <c r="C82" s="4" t="s">
        <v>8</v>
      </c>
      <c r="D82" s="4" t="str">
        <f>VLOOKUP(C82:C106,Table1[],2,0)</f>
        <v>analgesic</v>
      </c>
      <c r="E82" s="4" t="s">
        <v>54</v>
      </c>
      <c r="F82" s="4" t="str">
        <f>VLOOKUP(E81:E107,Table2[#All],2,0)</f>
        <v>DELHI</v>
      </c>
      <c r="G82" s="4">
        <v>36</v>
      </c>
      <c r="H82" s="5">
        <f>VLOOKUP(C81:C108,Table1[#All],3,0)</f>
        <v>2100</v>
      </c>
      <c r="I82" s="5">
        <f t="shared" si="1"/>
        <v>75600</v>
      </c>
    </row>
    <row r="83" spans="2:9" x14ac:dyDescent="0.3">
      <c r="B83" s="3">
        <v>46117</v>
      </c>
      <c r="C83" s="4" t="s">
        <v>17</v>
      </c>
      <c r="D83" s="4" t="str">
        <f>VLOOKUP(C83:C107,Table1[],2,0)</f>
        <v>antidiabetic</v>
      </c>
      <c r="E83" s="4" t="s">
        <v>56</v>
      </c>
      <c r="F83" s="4" t="str">
        <f>VLOOKUP(E82:E108,Table2[#All],2,0)</f>
        <v>PUNE</v>
      </c>
      <c r="G83" s="4">
        <v>15</v>
      </c>
      <c r="H83" s="5">
        <f>VLOOKUP(C82:C109,Table1[#All],3,0)</f>
        <v>1080</v>
      </c>
      <c r="I83" s="5">
        <f t="shared" si="1"/>
        <v>16200</v>
      </c>
    </row>
    <row r="84" spans="2:9" x14ac:dyDescent="0.3">
      <c r="B84" s="3">
        <v>46117</v>
      </c>
      <c r="C84" s="4" t="s">
        <v>18</v>
      </c>
      <c r="D84" s="4" t="s">
        <v>39</v>
      </c>
      <c r="E84" s="4" t="s">
        <v>56</v>
      </c>
      <c r="F84" s="4" t="str">
        <f>VLOOKUP(E83:E109,Table2[#All],2,0)</f>
        <v>PUNE</v>
      </c>
      <c r="G84" s="4">
        <v>10</v>
      </c>
      <c r="H84" s="5">
        <v>3200</v>
      </c>
      <c r="I84" s="5">
        <f t="shared" si="1"/>
        <v>32000</v>
      </c>
    </row>
    <row r="85" spans="2:9" x14ac:dyDescent="0.3">
      <c r="B85" s="3">
        <v>46117</v>
      </c>
      <c r="C85" s="4" t="s">
        <v>8</v>
      </c>
      <c r="D85" s="4" t="str">
        <f>VLOOKUP(C85:C109,Table1[],2,0)</f>
        <v>analgesic</v>
      </c>
      <c r="E85" s="4" t="s">
        <v>56</v>
      </c>
      <c r="F85" s="4" t="str">
        <f>VLOOKUP(E84:E110,Table2[#All],2,0)</f>
        <v>PUNE</v>
      </c>
      <c r="G85" s="4">
        <v>22</v>
      </c>
      <c r="H85" s="5">
        <f>VLOOKUP(C84:C111,Table1[#All],3,0)</f>
        <v>2100</v>
      </c>
      <c r="I85" s="5">
        <f t="shared" si="1"/>
        <v>46200</v>
      </c>
    </row>
    <row r="86" spans="2:9" x14ac:dyDescent="0.3">
      <c r="B86" s="3">
        <v>46117</v>
      </c>
      <c r="C86" s="4" t="s">
        <v>16</v>
      </c>
      <c r="D86" s="4" t="str">
        <f>VLOOKUP(C86:C110,Table1[],2,0)</f>
        <v>antibacterial</v>
      </c>
      <c r="E86" s="4" t="s">
        <v>56</v>
      </c>
      <c r="F86" s="4" t="str">
        <f>VLOOKUP(E85:E111,Table2[#All],2,0)</f>
        <v>PUNE</v>
      </c>
      <c r="G86" s="4">
        <v>24</v>
      </c>
      <c r="H86" s="5">
        <f>VLOOKUP(C85:C112,Table1[#All],3,0)</f>
        <v>1600</v>
      </c>
      <c r="I86" s="5">
        <f t="shared" si="1"/>
        <v>38400</v>
      </c>
    </row>
    <row r="87" spans="2:9" x14ac:dyDescent="0.3">
      <c r="B87" s="3">
        <v>46117</v>
      </c>
      <c r="C87" s="4" t="s">
        <v>13</v>
      </c>
      <c r="D87" s="4" t="str">
        <f>VLOOKUP(C87:C111,Table1[],2,0)</f>
        <v>antipyretic</v>
      </c>
      <c r="E87" s="4" t="s">
        <v>45</v>
      </c>
      <c r="F87" s="4" t="str">
        <f>VLOOKUP(E86:E112,Table2[#All],2,0)</f>
        <v>PUNE</v>
      </c>
      <c r="G87" s="4">
        <v>23</v>
      </c>
      <c r="H87" s="5">
        <f>VLOOKUP(C86:C113,Table1[#All],3,0)</f>
        <v>5400</v>
      </c>
      <c r="I87" s="5">
        <f t="shared" si="1"/>
        <v>124200</v>
      </c>
    </row>
    <row r="88" spans="2:9" x14ac:dyDescent="0.3">
      <c r="B88" s="3">
        <v>46117</v>
      </c>
      <c r="C88" s="4" t="s">
        <v>16</v>
      </c>
      <c r="D88" s="4" t="str">
        <f>VLOOKUP(C88:C112,Table1[],2,0)</f>
        <v>antibacterial</v>
      </c>
      <c r="E88" s="4" t="s">
        <v>45</v>
      </c>
      <c r="F88" s="4" t="str">
        <f>VLOOKUP(E87:E113,Table2[#All],2,0)</f>
        <v>PUNE</v>
      </c>
      <c r="G88" s="4">
        <v>19</v>
      </c>
      <c r="H88" s="5">
        <f>VLOOKUP(C87:C114,Table1[#All],3,0)</f>
        <v>1600</v>
      </c>
      <c r="I88" s="5">
        <f t="shared" si="1"/>
        <v>30400</v>
      </c>
    </row>
    <row r="89" spans="2:9" x14ac:dyDescent="0.3">
      <c r="B89" s="3">
        <v>46117</v>
      </c>
      <c r="C89" s="4" t="s">
        <v>12</v>
      </c>
      <c r="D89" s="4" t="str">
        <f>VLOOKUP(C89:C113,Table1[],2,0)</f>
        <v>antihistamines</v>
      </c>
      <c r="E89" s="4" t="s">
        <v>45</v>
      </c>
      <c r="F89" s="4" t="str">
        <f>VLOOKUP(E88:E114,Table2[#All],2,0)</f>
        <v>PUNE</v>
      </c>
      <c r="G89" s="4">
        <v>16</v>
      </c>
      <c r="H89" s="5">
        <f>VLOOKUP(C88:C115,Table1[#All],3,0)</f>
        <v>1400</v>
      </c>
      <c r="I89" s="5">
        <f t="shared" si="1"/>
        <v>22400</v>
      </c>
    </row>
    <row r="90" spans="2:9" x14ac:dyDescent="0.3">
      <c r="B90" s="3">
        <v>46117</v>
      </c>
      <c r="C90" s="4" t="s">
        <v>14</v>
      </c>
      <c r="D90" s="4" t="str">
        <f>VLOOKUP(C90:C114,Table1[],2,0)</f>
        <v>vitamins</v>
      </c>
      <c r="E90" s="4" t="s">
        <v>64</v>
      </c>
      <c r="F90" s="4" t="str">
        <f>VLOOKUP(E89:E115,Table2[#All],2,0)</f>
        <v>NAGPUR</v>
      </c>
      <c r="G90" s="4">
        <v>6</v>
      </c>
      <c r="H90" s="5">
        <f>VLOOKUP(C89:C116,Table1[#All],3,0)</f>
        <v>425</v>
      </c>
      <c r="I90" s="5">
        <f t="shared" si="1"/>
        <v>2550</v>
      </c>
    </row>
    <row r="91" spans="2:9" x14ac:dyDescent="0.3">
      <c r="B91" s="3">
        <v>46117</v>
      </c>
      <c r="C91" s="4" t="s">
        <v>18</v>
      </c>
      <c r="D91" s="4" t="s">
        <v>39</v>
      </c>
      <c r="E91" s="4" t="s">
        <v>64</v>
      </c>
      <c r="F91" s="4" t="str">
        <f>VLOOKUP(E90:E116,Table2[#All],2,0)</f>
        <v>NAGPUR</v>
      </c>
      <c r="G91" s="4">
        <v>8</v>
      </c>
      <c r="H91" s="5">
        <v>3200</v>
      </c>
      <c r="I91" s="5">
        <f t="shared" si="1"/>
        <v>25600</v>
      </c>
    </row>
    <row r="92" spans="2:9" x14ac:dyDescent="0.3">
      <c r="B92" s="3">
        <v>46117</v>
      </c>
      <c r="C92" s="4" t="s">
        <v>19</v>
      </c>
      <c r="D92" s="4" t="str">
        <f>VLOOKUP(C92:C116,Table1[],2,0)</f>
        <v>antibiotic</v>
      </c>
      <c r="E92" s="4" t="s">
        <v>47</v>
      </c>
      <c r="F92" s="4" t="str">
        <f>VLOOKUP(E91:E117,Table2[#All],2,0)</f>
        <v>MUMBAI</v>
      </c>
      <c r="G92" s="4">
        <v>50</v>
      </c>
      <c r="H92" s="5">
        <f>VLOOKUP(C91:C118,Table1[#All],3,0)</f>
        <v>1560</v>
      </c>
      <c r="I92" s="5">
        <f t="shared" si="1"/>
        <v>78000</v>
      </c>
    </row>
    <row r="93" spans="2:9" x14ac:dyDescent="0.3">
      <c r="B93" s="3">
        <v>46117</v>
      </c>
      <c r="C93" s="4" t="s">
        <v>20</v>
      </c>
      <c r="D93" s="4" t="str">
        <f>VLOOKUP(C93:C117,Table1[],2,0)</f>
        <v>analgesic</v>
      </c>
      <c r="E93" s="4" t="s">
        <v>47</v>
      </c>
      <c r="F93" s="4" t="str">
        <f>VLOOKUP(E92:E118,Table2[#All],2,0)</f>
        <v>MUMBAI</v>
      </c>
      <c r="G93" s="4">
        <v>8</v>
      </c>
      <c r="H93" s="5">
        <f>VLOOKUP(C92:C119,Table1[#All],3,0)</f>
        <v>800</v>
      </c>
      <c r="I93" s="5">
        <f t="shared" si="1"/>
        <v>6400</v>
      </c>
    </row>
    <row r="94" spans="2:9" x14ac:dyDescent="0.3">
      <c r="B94" s="3">
        <v>46117</v>
      </c>
      <c r="C94" s="4" t="s">
        <v>20</v>
      </c>
      <c r="D94" s="4" t="str">
        <f>VLOOKUP(C94:C118,Table1[],2,0)</f>
        <v>analgesic</v>
      </c>
      <c r="E94" s="4" t="s">
        <v>47</v>
      </c>
      <c r="F94" s="4" t="str">
        <f>VLOOKUP(E93:E119,Table2[#All],2,0)</f>
        <v>MUMBAI</v>
      </c>
      <c r="G94" s="4">
        <v>13</v>
      </c>
      <c r="H94" s="5">
        <f>VLOOKUP(C93:C120,Table1[#All],3,0)</f>
        <v>800</v>
      </c>
      <c r="I94" s="5">
        <f t="shared" si="1"/>
        <v>10400</v>
      </c>
    </row>
    <row r="95" spans="2:9" x14ac:dyDescent="0.3">
      <c r="B95" s="3">
        <v>46117</v>
      </c>
      <c r="C95" s="4" t="s">
        <v>10</v>
      </c>
      <c r="D95" s="4" t="str">
        <f>VLOOKUP(C95:C119,Table1[],2,0)</f>
        <v>antacids</v>
      </c>
      <c r="E95" s="4" t="s">
        <v>47</v>
      </c>
      <c r="F95" s="4" t="str">
        <f>VLOOKUP(E94:E120,Table2[#All],2,0)</f>
        <v>MUMBAI</v>
      </c>
      <c r="G95" s="4">
        <v>12</v>
      </c>
      <c r="H95" s="5">
        <f>VLOOKUP(C94:C121,Table1[#All],3,0)</f>
        <v>1658</v>
      </c>
      <c r="I95" s="5">
        <f t="shared" si="1"/>
        <v>19896</v>
      </c>
    </row>
    <row r="96" spans="2:9" x14ac:dyDescent="0.3">
      <c r="B96" s="3">
        <v>46117</v>
      </c>
      <c r="C96" s="4" t="s">
        <v>19</v>
      </c>
      <c r="D96" s="4" t="str">
        <f>VLOOKUP(C96:C120,Table1[],2,0)</f>
        <v>antibiotic</v>
      </c>
      <c r="E96" s="4" t="s">
        <v>46</v>
      </c>
      <c r="F96" s="4" t="str">
        <f>VLOOKUP(E95:E121,Table2[#All],2,0)</f>
        <v>HYDERABAD</v>
      </c>
      <c r="G96" s="4">
        <v>20</v>
      </c>
      <c r="H96" s="5">
        <f>VLOOKUP(C95:C122,Table1[#All],3,0)</f>
        <v>1560</v>
      </c>
      <c r="I96" s="5">
        <f t="shared" si="1"/>
        <v>31200</v>
      </c>
    </row>
    <row r="97" spans="2:9" x14ac:dyDescent="0.3">
      <c r="B97" s="3">
        <v>46117</v>
      </c>
      <c r="C97" s="4" t="s">
        <v>20</v>
      </c>
      <c r="D97" s="4" t="str">
        <f>VLOOKUP(C97:C121,Table1[],2,0)</f>
        <v>analgesic</v>
      </c>
      <c r="E97" s="4" t="s">
        <v>63</v>
      </c>
      <c r="F97" s="4" t="str">
        <f>VLOOKUP(E96:E122,Table2[#All],2,0)</f>
        <v>DELHI</v>
      </c>
      <c r="G97" s="4">
        <v>23</v>
      </c>
      <c r="H97" s="5">
        <f>VLOOKUP(C96:C123,Table1[#All],3,0)</f>
        <v>800</v>
      </c>
      <c r="I97" s="5">
        <f t="shared" si="1"/>
        <v>18400</v>
      </c>
    </row>
    <row r="98" spans="2:9" x14ac:dyDescent="0.3">
      <c r="B98" s="3">
        <v>46117</v>
      </c>
      <c r="C98" s="4" t="s">
        <v>10</v>
      </c>
      <c r="D98" s="4" t="str">
        <f>VLOOKUP(C98:C122,Table1[],2,0)</f>
        <v>antacids</v>
      </c>
      <c r="E98" s="4" t="s">
        <v>63</v>
      </c>
      <c r="F98" s="4" t="str">
        <f>VLOOKUP(E97:E123,Table2[#All],2,0)</f>
        <v>DELHI</v>
      </c>
      <c r="G98" s="4">
        <v>22</v>
      </c>
      <c r="H98" s="5">
        <f>VLOOKUP(C97:C124,Table1[#All],3,0)</f>
        <v>1658</v>
      </c>
      <c r="I98" s="5">
        <f t="shared" si="1"/>
        <v>36476</v>
      </c>
    </row>
    <row r="99" spans="2:9" x14ac:dyDescent="0.3">
      <c r="B99" s="3">
        <v>46117</v>
      </c>
      <c r="C99" s="4" t="s">
        <v>19</v>
      </c>
      <c r="D99" s="4" t="str">
        <f>VLOOKUP(C99:C123,Table1[],2,0)</f>
        <v>antibiotic</v>
      </c>
      <c r="E99" s="4" t="s">
        <v>61</v>
      </c>
      <c r="F99" s="4" t="str">
        <f>VLOOKUP(E98:E124,Table2[#All],2,0)</f>
        <v>HYDERABAD</v>
      </c>
      <c r="G99" s="4">
        <v>24</v>
      </c>
      <c r="H99" s="5">
        <f>VLOOKUP(C98:C125,Table1[#All],3,0)</f>
        <v>1560</v>
      </c>
      <c r="I99" s="5">
        <f t="shared" si="1"/>
        <v>37440</v>
      </c>
    </row>
    <row r="100" spans="2:9" x14ac:dyDescent="0.3">
      <c r="B100" s="3">
        <v>46117</v>
      </c>
      <c r="C100" s="4" t="s">
        <v>8</v>
      </c>
      <c r="D100" s="4" t="str">
        <f>VLOOKUP(C100:C124,Table1[],2,0)</f>
        <v>analgesic</v>
      </c>
      <c r="E100" s="4" t="s">
        <v>61</v>
      </c>
      <c r="F100" s="4" t="str">
        <f>VLOOKUP(E99:E125,Table2[#All],2,0)</f>
        <v>HYDERABAD</v>
      </c>
      <c r="G100" s="4">
        <v>30</v>
      </c>
      <c r="H100" s="5">
        <f>VLOOKUP(C99:C126,Table1[#All],3,0)</f>
        <v>2100</v>
      </c>
      <c r="I100" s="5">
        <f t="shared" si="1"/>
        <v>63000</v>
      </c>
    </row>
    <row r="101" spans="2:9" x14ac:dyDescent="0.3">
      <c r="B101" s="3">
        <v>46117</v>
      </c>
      <c r="C101" s="4" t="s">
        <v>8</v>
      </c>
      <c r="D101" s="4" t="str">
        <f>VLOOKUP(C101:C125,Table1[],2,0)</f>
        <v>analgesic</v>
      </c>
      <c r="E101" s="4" t="s">
        <v>61</v>
      </c>
      <c r="F101" s="4" t="str">
        <f>VLOOKUP(E100:E126,Table2[#All],2,0)</f>
        <v>HYDERABAD</v>
      </c>
      <c r="G101" s="4">
        <v>35</v>
      </c>
      <c r="H101" s="5">
        <f>VLOOKUP(C100:C127,Table1[#All],3,0)</f>
        <v>2100</v>
      </c>
      <c r="I101" s="5">
        <f t="shared" si="1"/>
        <v>73500</v>
      </c>
    </row>
    <row r="102" spans="2:9" x14ac:dyDescent="0.3">
      <c r="B102" s="3">
        <v>46117</v>
      </c>
      <c r="C102" s="4" t="s">
        <v>12</v>
      </c>
      <c r="D102" s="4" t="str">
        <f>VLOOKUP(C102:C126,Table1[],2,0)</f>
        <v>antihistamines</v>
      </c>
      <c r="E102" s="4" t="s">
        <v>57</v>
      </c>
      <c r="F102" s="4" t="str">
        <f>VLOOKUP(E101:E127,Table2[#All],2,0)</f>
        <v>MUMBAI</v>
      </c>
      <c r="G102" s="4">
        <v>10</v>
      </c>
      <c r="H102" s="5">
        <f>VLOOKUP(C101:C128,Table1[#All],3,0)</f>
        <v>1400</v>
      </c>
      <c r="I102" s="5">
        <f t="shared" si="1"/>
        <v>14000</v>
      </c>
    </row>
    <row r="103" spans="2:9" x14ac:dyDescent="0.3">
      <c r="B103" s="3">
        <v>46117</v>
      </c>
      <c r="C103" s="4" t="s">
        <v>12</v>
      </c>
      <c r="D103" s="4" t="str">
        <f>VLOOKUP(C103:C127,Table1[],2,0)</f>
        <v>antihistamines</v>
      </c>
      <c r="E103" s="4" t="s">
        <v>57</v>
      </c>
      <c r="F103" s="4" t="str">
        <f>VLOOKUP(E102:E128,Table2[#All],2,0)</f>
        <v>MUMBAI</v>
      </c>
      <c r="G103" s="4">
        <v>77</v>
      </c>
      <c r="H103" s="5">
        <f>VLOOKUP(C102:C129,Table1[#All],3,0)</f>
        <v>1400</v>
      </c>
      <c r="I103" s="5">
        <f t="shared" si="1"/>
        <v>107800</v>
      </c>
    </row>
    <row r="104" spans="2:9" x14ac:dyDescent="0.3">
      <c r="B104" s="3">
        <v>46117</v>
      </c>
      <c r="C104" s="4" t="s">
        <v>12</v>
      </c>
      <c r="D104" s="4" t="str">
        <f>VLOOKUP(C104:C128,Table1[],2,0)</f>
        <v>antihistamines</v>
      </c>
      <c r="E104" s="4" t="s">
        <v>62</v>
      </c>
      <c r="F104" s="4" t="str">
        <f>VLOOKUP(E103:E129,Table2[#All],2,0)</f>
        <v>CHENNAI</v>
      </c>
      <c r="G104" s="4">
        <v>15</v>
      </c>
      <c r="H104" s="5">
        <f>VLOOKUP(C103:C130,Table1[#All],3,0)</f>
        <v>1400</v>
      </c>
      <c r="I104" s="5">
        <f t="shared" si="1"/>
        <v>21000</v>
      </c>
    </row>
    <row r="105" spans="2:9" x14ac:dyDescent="0.3">
      <c r="B105" s="3">
        <v>46117</v>
      </c>
      <c r="C105" s="4" t="s">
        <v>8</v>
      </c>
      <c r="D105" s="4" t="str">
        <f>VLOOKUP(C105:C129,Table1[],2,0)</f>
        <v>analgesic</v>
      </c>
      <c r="E105" s="4" t="s">
        <v>62</v>
      </c>
      <c r="F105" s="4" t="str">
        <f>VLOOKUP(E104:E130,Table2[#All],2,0)</f>
        <v>CHENNAI</v>
      </c>
      <c r="G105" s="4">
        <v>14</v>
      </c>
      <c r="H105" s="5">
        <f>VLOOKUP(C104:C131,Table1[#All],3,0)</f>
        <v>2100</v>
      </c>
      <c r="I105" s="5">
        <f t="shared" si="1"/>
        <v>29400</v>
      </c>
    </row>
    <row r="106" spans="2:9" x14ac:dyDescent="0.3">
      <c r="B106" s="3">
        <v>46117</v>
      </c>
      <c r="C106" s="4" t="s">
        <v>13</v>
      </c>
      <c r="D106" s="4" t="str">
        <f>VLOOKUP(C106:C130,Table1[],2,0)</f>
        <v>antipyretic</v>
      </c>
      <c r="E106" s="4" t="s">
        <v>62</v>
      </c>
      <c r="F106" s="4" t="str">
        <f>VLOOKUP(E105:E131,Table2[#All],2,0)</f>
        <v>CHENNAI</v>
      </c>
      <c r="G106" s="4">
        <v>16</v>
      </c>
      <c r="H106" s="5">
        <f>VLOOKUP(C105:C132,Table1[#All],3,0)</f>
        <v>5400</v>
      </c>
      <c r="I106" s="5">
        <f t="shared" si="1"/>
        <v>86400</v>
      </c>
    </row>
    <row r="107" spans="2:9" x14ac:dyDescent="0.3">
      <c r="B107" s="3">
        <v>46117</v>
      </c>
      <c r="C107" s="4" t="s">
        <v>8</v>
      </c>
      <c r="D107" s="4" t="str">
        <f>VLOOKUP(C107:C131,Table1[],2,0)</f>
        <v>analgesic</v>
      </c>
      <c r="E107" s="4" t="s">
        <v>48</v>
      </c>
      <c r="F107" s="4" t="str">
        <f>VLOOKUP(E106:E132,Table2[#All],2,0)</f>
        <v>CHENNAI</v>
      </c>
      <c r="G107" s="4">
        <v>11</v>
      </c>
      <c r="H107" s="5">
        <f>VLOOKUP(C106:C133,Table1[#All],3,0)</f>
        <v>2100</v>
      </c>
      <c r="I107" s="5">
        <f t="shared" si="1"/>
        <v>23100</v>
      </c>
    </row>
    <row r="108" spans="2:9" x14ac:dyDescent="0.3">
      <c r="B108" s="3">
        <v>46117</v>
      </c>
      <c r="C108" s="4" t="s">
        <v>10</v>
      </c>
      <c r="D108" s="4" t="str">
        <f>VLOOKUP(C108:C132,Table1[],2,0)</f>
        <v>antacids</v>
      </c>
      <c r="E108" s="4" t="s">
        <v>48</v>
      </c>
      <c r="F108" s="4" t="str">
        <f>VLOOKUP(E107:E133,Table2[#All],2,0)</f>
        <v>CHENNAI</v>
      </c>
      <c r="G108" s="4">
        <v>10</v>
      </c>
      <c r="H108" s="5">
        <f>VLOOKUP(C107:C134,Table1[#All],3,0)</f>
        <v>1658</v>
      </c>
      <c r="I108" s="5">
        <f t="shared" si="1"/>
        <v>16580</v>
      </c>
    </row>
    <row r="109" spans="2:9" x14ac:dyDescent="0.3">
      <c r="B109" s="3">
        <v>46117</v>
      </c>
      <c r="C109" s="4" t="s">
        <v>17</v>
      </c>
      <c r="D109" s="4" t="str">
        <f>VLOOKUP(C109:C133,Table1[],2,0)</f>
        <v>antidiabetic</v>
      </c>
      <c r="E109" s="4" t="s">
        <v>55</v>
      </c>
      <c r="F109" s="4" t="str">
        <f>VLOOKUP(E108:E134,Table2[#All],2,0)</f>
        <v>NAGPUR</v>
      </c>
      <c r="G109" s="4">
        <v>12</v>
      </c>
      <c r="H109" s="5">
        <f>VLOOKUP(C108:C135,Table1[#All],3,0)</f>
        <v>1080</v>
      </c>
      <c r="I109" s="5">
        <f t="shared" si="1"/>
        <v>12960</v>
      </c>
    </row>
    <row r="110" spans="2:9" x14ac:dyDescent="0.3">
      <c r="B110" s="3">
        <v>46117</v>
      </c>
      <c r="C110" s="4" t="s">
        <v>11</v>
      </c>
      <c r="D110" s="4" t="str">
        <f>VLOOKUP(C110:C134,Table1[],2,0)</f>
        <v>antacids</v>
      </c>
      <c r="E110" s="4" t="s">
        <v>55</v>
      </c>
      <c r="F110" s="4" t="str">
        <f>VLOOKUP(E109:E135,Table2[#All],2,0)</f>
        <v>NAGPUR</v>
      </c>
      <c r="G110" s="4">
        <v>13</v>
      </c>
      <c r="H110" s="5">
        <f>VLOOKUP(C109:C136,Table1[#All],3,0)</f>
        <v>3216</v>
      </c>
      <c r="I110" s="5">
        <f t="shared" si="1"/>
        <v>41808</v>
      </c>
    </row>
    <row r="111" spans="2:9" x14ac:dyDescent="0.3">
      <c r="B111" s="3">
        <v>46160</v>
      </c>
      <c r="C111" s="4" t="s">
        <v>11</v>
      </c>
      <c r="D111" s="4" t="str">
        <f>VLOOKUP(C111:C135,Table1[],2,0)</f>
        <v>antacids</v>
      </c>
      <c r="E111" s="4" t="s">
        <v>57</v>
      </c>
      <c r="F111" s="4" t="str">
        <f>VLOOKUP(E110:E136,Table2[#All],2,0)</f>
        <v>MUMBAI</v>
      </c>
      <c r="G111" s="4">
        <v>9</v>
      </c>
      <c r="H111" s="5">
        <f>VLOOKUP(C110:C137,Table1[#All],3,0)</f>
        <v>3216</v>
      </c>
      <c r="I111" s="5">
        <f t="shared" si="1"/>
        <v>28944</v>
      </c>
    </row>
    <row r="112" spans="2:9" x14ac:dyDescent="0.3">
      <c r="B112" s="3">
        <v>46160</v>
      </c>
      <c r="C112" s="4" t="s">
        <v>13</v>
      </c>
      <c r="D112" s="4" t="str">
        <f>VLOOKUP(C112:C136,Table1[],2,0)</f>
        <v>antipyretic</v>
      </c>
      <c r="E112" s="4" t="s">
        <v>57</v>
      </c>
      <c r="F112" s="4" t="str">
        <f>VLOOKUP(E111:E137,Table2[#All],2,0)</f>
        <v>MUMBAI</v>
      </c>
      <c r="G112" s="4">
        <v>26</v>
      </c>
      <c r="H112" s="5">
        <f>VLOOKUP(C111:C138,Table1[#All],3,0)</f>
        <v>5400</v>
      </c>
      <c r="I112" s="5">
        <f t="shared" si="1"/>
        <v>140400</v>
      </c>
    </row>
    <row r="113" spans="2:9" x14ac:dyDescent="0.3">
      <c r="B113" s="3">
        <v>46160</v>
      </c>
      <c r="C113" s="4" t="s">
        <v>9</v>
      </c>
      <c r="D113" s="4" t="str">
        <f>VLOOKUP(C113:C137,Table1[],2,0)</f>
        <v>antibiotic</v>
      </c>
      <c r="E113" s="4" t="s">
        <v>62</v>
      </c>
      <c r="F113" s="4" t="str">
        <f>VLOOKUP(E112:E138,Table2[#All],2,0)</f>
        <v>CHENNAI</v>
      </c>
      <c r="G113" s="4">
        <v>2</v>
      </c>
      <c r="H113" s="5">
        <f>VLOOKUP(C112:C139,Table1[#All],3,0)</f>
        <v>400</v>
      </c>
      <c r="I113" s="5">
        <f t="shared" si="1"/>
        <v>800</v>
      </c>
    </row>
    <row r="114" spans="2:9" x14ac:dyDescent="0.3">
      <c r="B114" s="3">
        <v>46160</v>
      </c>
      <c r="C114" s="4" t="s">
        <v>12</v>
      </c>
      <c r="D114" s="4" t="str">
        <f>VLOOKUP(C114:C138,Table1[],2,0)</f>
        <v>antihistamines</v>
      </c>
      <c r="E114" s="4" t="s">
        <v>62</v>
      </c>
      <c r="F114" s="4" t="str">
        <f>VLOOKUP(E113:E139,Table2[#All],2,0)</f>
        <v>CHENNAI</v>
      </c>
      <c r="G114" s="4">
        <v>35</v>
      </c>
      <c r="H114" s="5">
        <f>VLOOKUP(C113:C140,Table1[#All],3,0)</f>
        <v>1400</v>
      </c>
      <c r="I114" s="5">
        <f t="shared" si="1"/>
        <v>49000</v>
      </c>
    </row>
    <row r="115" spans="2:9" x14ac:dyDescent="0.3">
      <c r="B115" s="3">
        <v>46160</v>
      </c>
      <c r="C115" s="4" t="s">
        <v>14</v>
      </c>
      <c r="D115" s="4" t="str">
        <f>VLOOKUP(C115:C139,Table1[],2,0)</f>
        <v>vitamins</v>
      </c>
      <c r="E115" s="4" t="s">
        <v>56</v>
      </c>
      <c r="F115" s="4" t="str">
        <f>VLOOKUP(E114:E140,Table2[#All],2,0)</f>
        <v>PUNE</v>
      </c>
      <c r="G115" s="4">
        <v>14</v>
      </c>
      <c r="H115" s="5">
        <f>VLOOKUP(C114:C141,Table1[#All],3,0)</f>
        <v>425</v>
      </c>
      <c r="I115" s="5">
        <f t="shared" si="1"/>
        <v>5950</v>
      </c>
    </row>
    <row r="116" spans="2:9" x14ac:dyDescent="0.3">
      <c r="B116" s="3">
        <v>46160</v>
      </c>
      <c r="C116" s="4" t="s">
        <v>18</v>
      </c>
      <c r="D116" s="4" t="s">
        <v>39</v>
      </c>
      <c r="E116" s="4" t="s">
        <v>56</v>
      </c>
      <c r="F116" s="4" t="str">
        <f>VLOOKUP(E115:E141,Table2[#All],2,0)</f>
        <v>PUNE</v>
      </c>
      <c r="G116" s="4">
        <v>22</v>
      </c>
      <c r="H116" s="5">
        <v>3200</v>
      </c>
      <c r="I116" s="5">
        <f t="shared" si="1"/>
        <v>70400</v>
      </c>
    </row>
    <row r="117" spans="2:9" x14ac:dyDescent="0.3">
      <c r="B117" s="3">
        <v>46160</v>
      </c>
      <c r="C117" s="4" t="s">
        <v>19</v>
      </c>
      <c r="D117" s="4" t="str">
        <f>VLOOKUP(C117:C141,Table1[],2,0)</f>
        <v>antibiotic</v>
      </c>
      <c r="E117" s="4" t="s">
        <v>47</v>
      </c>
      <c r="F117" s="4" t="str">
        <f>VLOOKUP(E116:E142,Table2[#All],2,0)</f>
        <v>MUMBAI</v>
      </c>
      <c r="G117" s="4">
        <v>28</v>
      </c>
      <c r="H117" s="5">
        <f>VLOOKUP(C116:C143,Table1[#All],3,0)</f>
        <v>1560</v>
      </c>
      <c r="I117" s="5">
        <f t="shared" si="1"/>
        <v>43680</v>
      </c>
    </row>
    <row r="118" spans="2:9" x14ac:dyDescent="0.3">
      <c r="B118" s="3">
        <v>46160</v>
      </c>
      <c r="C118" s="4" t="s">
        <v>20</v>
      </c>
      <c r="D118" s="4" t="str">
        <f>VLOOKUP(C118:C142,Table1[],2,0)</f>
        <v>analgesic</v>
      </c>
      <c r="E118" s="4" t="s">
        <v>47</v>
      </c>
      <c r="F118" s="4" t="str">
        <f>VLOOKUP(E117:E143,Table2[#All],2,0)</f>
        <v>MUMBAI</v>
      </c>
      <c r="G118" s="4">
        <v>9</v>
      </c>
      <c r="H118" s="5">
        <f>VLOOKUP(C117:C144,Table1[#All],3,0)</f>
        <v>800</v>
      </c>
      <c r="I118" s="5">
        <f t="shared" si="1"/>
        <v>7200</v>
      </c>
    </row>
    <row r="119" spans="2:9" x14ac:dyDescent="0.3">
      <c r="B119" s="3">
        <v>46160</v>
      </c>
      <c r="C119" s="4" t="s">
        <v>20</v>
      </c>
      <c r="D119" s="4" t="str">
        <f>VLOOKUP(C119:C143,Table1[],2,0)</f>
        <v>analgesic</v>
      </c>
      <c r="E119" s="4" t="s">
        <v>47</v>
      </c>
      <c r="F119" s="4" t="str">
        <f>VLOOKUP(E118:E144,Table2[#All],2,0)</f>
        <v>MUMBAI</v>
      </c>
      <c r="G119" s="4">
        <v>18</v>
      </c>
      <c r="H119" s="5">
        <f>VLOOKUP(C118:C145,Table1[#All],3,0)</f>
        <v>800</v>
      </c>
      <c r="I119" s="5">
        <f t="shared" si="1"/>
        <v>14400</v>
      </c>
    </row>
    <row r="120" spans="2:9" x14ac:dyDescent="0.3">
      <c r="B120" s="3">
        <v>46160</v>
      </c>
      <c r="C120" s="4" t="s">
        <v>10</v>
      </c>
      <c r="D120" s="4" t="str">
        <f>VLOOKUP(C120:C144,Table1[],2,0)</f>
        <v>antacids</v>
      </c>
      <c r="E120" s="4" t="s">
        <v>46</v>
      </c>
      <c r="F120" s="4" t="str">
        <f>VLOOKUP(E119:E145,Table2[#All],2,0)</f>
        <v>HYDERABAD</v>
      </c>
      <c r="G120" s="4">
        <v>26</v>
      </c>
      <c r="H120" s="5">
        <f>VLOOKUP(C119:C146,Table1[#All],3,0)</f>
        <v>1658</v>
      </c>
      <c r="I120" s="5">
        <f t="shared" si="1"/>
        <v>43108</v>
      </c>
    </row>
    <row r="121" spans="2:9" x14ac:dyDescent="0.3">
      <c r="B121" s="3">
        <v>46160</v>
      </c>
      <c r="C121" s="4" t="s">
        <v>19</v>
      </c>
      <c r="D121" s="4" t="str">
        <f>VLOOKUP(C121:C145,Table1[],2,0)</f>
        <v>antibiotic</v>
      </c>
      <c r="E121" s="4" t="s">
        <v>46</v>
      </c>
      <c r="F121" s="4" t="str">
        <f>VLOOKUP(E120:E146,Table2[#All],2,0)</f>
        <v>HYDERABAD</v>
      </c>
      <c r="G121" s="4">
        <v>35</v>
      </c>
      <c r="H121" s="5">
        <f>VLOOKUP(C120:C147,Table1[#All],3,0)</f>
        <v>1560</v>
      </c>
      <c r="I121" s="5">
        <f t="shared" si="1"/>
        <v>54600</v>
      </c>
    </row>
    <row r="122" spans="2:9" x14ac:dyDescent="0.3">
      <c r="B122" s="3">
        <v>46160</v>
      </c>
      <c r="C122" s="4" t="s">
        <v>8</v>
      </c>
      <c r="D122" s="4" t="str">
        <f>VLOOKUP(C122:C146,Table1[],2,0)</f>
        <v>analgesic</v>
      </c>
      <c r="E122" s="4" t="s">
        <v>54</v>
      </c>
      <c r="F122" s="4" t="str">
        <f>VLOOKUP(E121:E147,Table2[#All],2,0)</f>
        <v>DELHI</v>
      </c>
      <c r="G122" s="4">
        <v>11</v>
      </c>
      <c r="H122" s="5">
        <f>VLOOKUP(C121:C148,Table1[#All],3,0)</f>
        <v>2100</v>
      </c>
      <c r="I122" s="5">
        <f t="shared" si="1"/>
        <v>23100</v>
      </c>
    </row>
    <row r="123" spans="2:9" x14ac:dyDescent="0.3">
      <c r="B123" s="3">
        <v>46160</v>
      </c>
      <c r="C123" s="4" t="s">
        <v>8</v>
      </c>
      <c r="D123" s="4" t="str">
        <f>VLOOKUP(C123:C147,Table1[],2,0)</f>
        <v>analgesic</v>
      </c>
      <c r="E123" s="4" t="s">
        <v>54</v>
      </c>
      <c r="F123" s="4" t="str">
        <f>VLOOKUP(E122:E148,Table2[#All],2,0)</f>
        <v>DELHI</v>
      </c>
      <c r="G123" s="4">
        <v>14</v>
      </c>
      <c r="H123" s="5">
        <f>VLOOKUP(C122:C149,Table1[#All],3,0)</f>
        <v>2100</v>
      </c>
      <c r="I123" s="5">
        <f t="shared" si="1"/>
        <v>29400</v>
      </c>
    </row>
    <row r="124" spans="2:9" x14ac:dyDescent="0.3">
      <c r="B124" s="3">
        <v>46160</v>
      </c>
      <c r="C124" s="4" t="s">
        <v>12</v>
      </c>
      <c r="D124" s="4" t="str">
        <f>VLOOKUP(C124:C148,Table1[],2,0)</f>
        <v>antihistamines</v>
      </c>
      <c r="E124" s="4" t="s">
        <v>63</v>
      </c>
      <c r="F124" s="4" t="str">
        <f>VLOOKUP(E123:E149,Table2[#All],2,0)</f>
        <v>DELHI</v>
      </c>
      <c r="G124" s="4">
        <v>22</v>
      </c>
      <c r="H124" s="5">
        <f>VLOOKUP(C123:C150,Table1[#All],3,0)</f>
        <v>1400</v>
      </c>
      <c r="I124" s="5">
        <f t="shared" si="1"/>
        <v>30800</v>
      </c>
    </row>
    <row r="125" spans="2:9" x14ac:dyDescent="0.3">
      <c r="B125" s="3">
        <v>46160</v>
      </c>
      <c r="C125" s="4" t="s">
        <v>12</v>
      </c>
      <c r="D125" s="4" t="str">
        <f>VLOOKUP(C125:C149,Table1[],2,0)</f>
        <v>antihistamines</v>
      </c>
      <c r="E125" s="4" t="s">
        <v>63</v>
      </c>
      <c r="F125" s="4" t="str">
        <f>VLOOKUP(E124:E150,Table2[#All],2,0)</f>
        <v>DELHI</v>
      </c>
      <c r="G125" s="4">
        <v>20</v>
      </c>
      <c r="H125" s="5">
        <f>VLOOKUP(C124:C151,Table1[#All],3,0)</f>
        <v>1400</v>
      </c>
      <c r="I125" s="5">
        <f t="shared" si="1"/>
        <v>28000</v>
      </c>
    </row>
    <row r="126" spans="2:9" x14ac:dyDescent="0.3">
      <c r="B126" s="3">
        <v>46160</v>
      </c>
      <c r="C126" s="4" t="s">
        <v>12</v>
      </c>
      <c r="D126" s="4" t="str">
        <f>VLOOKUP(C126:C150,Table1[],2,0)</f>
        <v>antihistamines</v>
      </c>
      <c r="E126" s="4" t="s">
        <v>63</v>
      </c>
      <c r="F126" s="4" t="str">
        <f>VLOOKUP(E125:E151,Table2[#All],2,0)</f>
        <v>DELHI</v>
      </c>
      <c r="G126" s="4">
        <v>4</v>
      </c>
      <c r="H126" s="5">
        <f>VLOOKUP(C125:C152,Table1[#All],3,0)</f>
        <v>1400</v>
      </c>
      <c r="I126" s="5">
        <f t="shared" si="1"/>
        <v>5600</v>
      </c>
    </row>
    <row r="127" spans="2:9" x14ac:dyDescent="0.3">
      <c r="B127" s="3">
        <v>46160</v>
      </c>
      <c r="C127" s="4" t="s">
        <v>8</v>
      </c>
      <c r="D127" s="4" t="str">
        <f>VLOOKUP(C127:C151,Table1[],2,0)</f>
        <v>analgesic</v>
      </c>
      <c r="E127" s="4" t="s">
        <v>63</v>
      </c>
      <c r="F127" s="4" t="str">
        <f>VLOOKUP(E126:E152,Table2[#All],2,0)</f>
        <v>DELHI</v>
      </c>
      <c r="G127" s="4">
        <v>15</v>
      </c>
      <c r="H127" s="5">
        <f>VLOOKUP(C126:C153,Table1[#All],3,0)</f>
        <v>2100</v>
      </c>
      <c r="I127" s="5">
        <f t="shared" si="1"/>
        <v>31500</v>
      </c>
    </row>
    <row r="128" spans="2:9" x14ac:dyDescent="0.3">
      <c r="B128" s="3">
        <v>46160</v>
      </c>
      <c r="C128" s="4" t="s">
        <v>11</v>
      </c>
      <c r="D128" s="4" t="str">
        <f>VLOOKUP(C128:C152,Table1[],2,0)</f>
        <v>antacids</v>
      </c>
      <c r="E128" s="4" t="s">
        <v>56</v>
      </c>
      <c r="F128" s="4" t="str">
        <f>VLOOKUP(E127:E153,Table2[#All],2,0)</f>
        <v>PUNE</v>
      </c>
      <c r="G128" s="4">
        <v>30</v>
      </c>
      <c r="H128" s="5">
        <f>VLOOKUP(C127:C154,Table1[#All],3,0)</f>
        <v>3216</v>
      </c>
      <c r="I128" s="5">
        <f t="shared" si="1"/>
        <v>96480</v>
      </c>
    </row>
    <row r="129" spans="2:9" x14ac:dyDescent="0.3">
      <c r="B129" s="3">
        <v>46160</v>
      </c>
      <c r="C129" s="4" t="s">
        <v>10</v>
      </c>
      <c r="D129" s="4" t="str">
        <f>VLOOKUP(C129:C153,Table1[],2,0)</f>
        <v>antacids</v>
      </c>
      <c r="E129" s="4" t="s">
        <v>56</v>
      </c>
      <c r="F129" s="4" t="str">
        <f>VLOOKUP(E128:E154,Table2[#All],2,0)</f>
        <v>PUNE</v>
      </c>
      <c r="G129" s="4">
        <v>29</v>
      </c>
      <c r="H129" s="5">
        <f>VLOOKUP(C128:C155,Table1[#All],3,0)</f>
        <v>1658</v>
      </c>
      <c r="I129" s="5">
        <f t="shared" si="1"/>
        <v>48082</v>
      </c>
    </row>
    <row r="130" spans="2:9" x14ac:dyDescent="0.3">
      <c r="B130" s="3">
        <v>46160</v>
      </c>
      <c r="C130" s="4" t="s">
        <v>8</v>
      </c>
      <c r="D130" s="4" t="str">
        <f>VLOOKUP(C130:C154,Table1[],2,0)</f>
        <v>analgesic</v>
      </c>
      <c r="E130" s="4" t="s">
        <v>48</v>
      </c>
      <c r="F130" s="4" t="str">
        <f>VLOOKUP(E129:E155,Table2[#All],2,0)</f>
        <v>CHENNAI</v>
      </c>
      <c r="G130" s="4">
        <v>17</v>
      </c>
      <c r="H130" s="5">
        <f>VLOOKUP(C129:C156,Table1[#All],3,0)</f>
        <v>2100</v>
      </c>
      <c r="I130" s="5">
        <f t="shared" si="1"/>
        <v>35700</v>
      </c>
    </row>
    <row r="131" spans="2:9" x14ac:dyDescent="0.3">
      <c r="B131" s="3">
        <v>46160</v>
      </c>
      <c r="C131" s="4" t="s">
        <v>12</v>
      </c>
      <c r="D131" s="4" t="str">
        <f>VLOOKUP(C131:C155,Table1[],2,0)</f>
        <v>antihistamines</v>
      </c>
      <c r="E131" s="4" t="s">
        <v>48</v>
      </c>
      <c r="F131" s="4" t="str">
        <f>VLOOKUP(E130:E156,Table2[#All],2,0)</f>
        <v>CHENNAI</v>
      </c>
      <c r="G131" s="4">
        <v>13</v>
      </c>
      <c r="H131" s="5">
        <f>VLOOKUP(C130:C157,Table1[#All],3,0)</f>
        <v>1400</v>
      </c>
      <c r="I131" s="5">
        <f t="shared" ref="I131:I194" si="2">G:G*H:H</f>
        <v>18200</v>
      </c>
    </row>
    <row r="132" spans="2:9" x14ac:dyDescent="0.3">
      <c r="B132" s="3">
        <v>46160</v>
      </c>
      <c r="C132" s="4" t="s">
        <v>68</v>
      </c>
      <c r="D132" s="4" t="s">
        <v>39</v>
      </c>
      <c r="E132" s="4" t="s">
        <v>45</v>
      </c>
      <c r="F132" s="4" t="str">
        <f>VLOOKUP(E131:E157,Table2[#All],2,0)</f>
        <v>PUNE</v>
      </c>
      <c r="G132" s="4">
        <v>20</v>
      </c>
      <c r="H132" s="5">
        <v>3200</v>
      </c>
      <c r="I132" s="5">
        <f t="shared" si="2"/>
        <v>64000</v>
      </c>
    </row>
    <row r="133" spans="2:9" x14ac:dyDescent="0.3">
      <c r="B133" s="3">
        <v>46160</v>
      </c>
      <c r="C133" s="4" t="s">
        <v>9</v>
      </c>
      <c r="D133" s="4" t="str">
        <f>VLOOKUP(C133:C157,Table1[],2,0)</f>
        <v>antibiotic</v>
      </c>
      <c r="E133" s="4" t="s">
        <v>45</v>
      </c>
      <c r="F133" s="4" t="str">
        <f>VLOOKUP(E132:E158,Table2[#All],2,0)</f>
        <v>PUNE</v>
      </c>
      <c r="G133" s="4">
        <v>15</v>
      </c>
      <c r="H133" s="5">
        <f>VLOOKUP(C132:C159,Table1[#All],3,0)</f>
        <v>400</v>
      </c>
      <c r="I133" s="5">
        <f t="shared" si="2"/>
        <v>6000</v>
      </c>
    </row>
    <row r="134" spans="2:9" x14ac:dyDescent="0.3">
      <c r="B134" s="3">
        <v>46160</v>
      </c>
      <c r="C134" s="4" t="s">
        <v>20</v>
      </c>
      <c r="D134" s="4" t="str">
        <f>VLOOKUP(C134:C158,Table1[],2,0)</f>
        <v>analgesic</v>
      </c>
      <c r="E134" s="4" t="s">
        <v>48</v>
      </c>
      <c r="F134" s="4" t="str">
        <f>VLOOKUP(E133:E159,Table2[#All],2,0)</f>
        <v>CHENNAI</v>
      </c>
      <c r="G134" s="4">
        <v>12</v>
      </c>
      <c r="H134" s="5">
        <f>VLOOKUP(C133:C160,Table1[#All],3,0)</f>
        <v>800</v>
      </c>
      <c r="I134" s="5">
        <f t="shared" si="2"/>
        <v>9600</v>
      </c>
    </row>
    <row r="135" spans="2:9" x14ac:dyDescent="0.3">
      <c r="B135" s="3">
        <v>46160</v>
      </c>
      <c r="C135" s="4" t="s">
        <v>16</v>
      </c>
      <c r="D135" s="4" t="str">
        <f>VLOOKUP(C135:C159,Table1[],2,0)</f>
        <v>antibacterial</v>
      </c>
      <c r="E135" s="4" t="s">
        <v>55</v>
      </c>
      <c r="F135" s="4" t="str">
        <f>VLOOKUP(E134:E160,Table2[#All],2,0)</f>
        <v>NAGPUR</v>
      </c>
      <c r="G135" s="4">
        <v>30</v>
      </c>
      <c r="H135" s="5">
        <f>VLOOKUP(C134:C161,Table1[#All],3,0)</f>
        <v>1600</v>
      </c>
      <c r="I135" s="5">
        <f t="shared" si="2"/>
        <v>48000</v>
      </c>
    </row>
    <row r="136" spans="2:9" x14ac:dyDescent="0.3">
      <c r="B136" s="3">
        <v>46160</v>
      </c>
      <c r="C136" s="4" t="s">
        <v>17</v>
      </c>
      <c r="D136" s="4" t="str">
        <f>VLOOKUP(C136:C160,Table1[],2,0)</f>
        <v>antidiabetic</v>
      </c>
      <c r="E136" s="4" t="s">
        <v>55</v>
      </c>
      <c r="F136" s="4" t="str">
        <f>VLOOKUP(E135:E161,Table2[#All],2,0)</f>
        <v>NAGPUR</v>
      </c>
      <c r="G136" s="4">
        <v>6</v>
      </c>
      <c r="H136" s="5">
        <f>VLOOKUP(C135:C162,Table1[#All],3,0)</f>
        <v>1080</v>
      </c>
      <c r="I136" s="5">
        <f t="shared" si="2"/>
        <v>6480</v>
      </c>
    </row>
    <row r="137" spans="2:9" x14ac:dyDescent="0.3">
      <c r="B137" s="3">
        <v>46160</v>
      </c>
      <c r="C137" s="4" t="s">
        <v>15</v>
      </c>
      <c r="D137" s="4" t="s">
        <v>40</v>
      </c>
      <c r="E137" s="4" t="s">
        <v>64</v>
      </c>
      <c r="F137" s="4" t="str">
        <f>VLOOKUP(E136:E162,Table2[#All],2,0)</f>
        <v>NAGPUR</v>
      </c>
      <c r="G137" s="4">
        <v>32</v>
      </c>
      <c r="H137" s="5">
        <v>300</v>
      </c>
      <c r="I137" s="5">
        <f t="shared" si="2"/>
        <v>9600</v>
      </c>
    </row>
    <row r="138" spans="2:9" x14ac:dyDescent="0.3">
      <c r="B138" s="3">
        <v>46177</v>
      </c>
      <c r="C138" s="4" t="s">
        <v>16</v>
      </c>
      <c r="D138" s="4" t="str">
        <f>VLOOKUP(C:C,Table1[#All],2,0)</f>
        <v>antibacterial</v>
      </c>
      <c r="E138" s="4" t="s">
        <v>44</v>
      </c>
      <c r="F138" s="4" t="str">
        <f>VLOOKUP(E137:E163,Table2[#All],2,0)</f>
        <v>BANGLORE</v>
      </c>
      <c r="G138" s="4">
        <v>16</v>
      </c>
      <c r="H138" s="5">
        <f>VLOOKUP(C:C,Table1[#All],3,0)</f>
        <v>1600</v>
      </c>
      <c r="I138" s="5">
        <f t="shared" si="2"/>
        <v>25600</v>
      </c>
    </row>
    <row r="139" spans="2:9" x14ac:dyDescent="0.3">
      <c r="B139" s="3">
        <v>46177</v>
      </c>
      <c r="C139" s="4" t="s">
        <v>13</v>
      </c>
      <c r="D139" s="4" t="str">
        <f>VLOOKUP(C:C,Table1[#All],2,0)</f>
        <v>antipyretic</v>
      </c>
      <c r="E139" s="4" t="s">
        <v>44</v>
      </c>
      <c r="F139" s="4" t="str">
        <f>VLOOKUP(E138:E164,Table2[#All],2,0)</f>
        <v>BANGLORE</v>
      </c>
      <c r="G139" s="4">
        <v>7</v>
      </c>
      <c r="H139" s="5">
        <f>VLOOKUP(C:C,Table1[#All],3,0)</f>
        <v>5400</v>
      </c>
      <c r="I139" s="5">
        <f t="shared" si="2"/>
        <v>37800</v>
      </c>
    </row>
    <row r="140" spans="2:9" x14ac:dyDescent="0.3">
      <c r="B140" s="3">
        <v>46177</v>
      </c>
      <c r="C140" s="4" t="s">
        <v>16</v>
      </c>
      <c r="D140" s="4" t="str">
        <f>VLOOKUP(C:C,Table1[#All],2,0)</f>
        <v>antibacterial</v>
      </c>
      <c r="E140" s="4" t="s">
        <v>44</v>
      </c>
      <c r="F140" s="4" t="str">
        <f>VLOOKUP(E139:E165,Table2[#All],2,0)</f>
        <v>BANGLORE</v>
      </c>
      <c r="G140" s="4">
        <v>10</v>
      </c>
      <c r="H140" s="5">
        <f>VLOOKUP(C:C,Table1[#All],3,0)</f>
        <v>1600</v>
      </c>
      <c r="I140" s="5">
        <f t="shared" si="2"/>
        <v>16000</v>
      </c>
    </row>
    <row r="141" spans="2:9" x14ac:dyDescent="0.3">
      <c r="B141" s="3">
        <v>46177</v>
      </c>
      <c r="C141" s="4" t="s">
        <v>12</v>
      </c>
      <c r="D141" s="4" t="str">
        <f>VLOOKUP(C:C,Table1[#All],2,0)</f>
        <v>antihistamines</v>
      </c>
      <c r="E141" s="4" t="s">
        <v>60</v>
      </c>
      <c r="F141" s="4" t="str">
        <f>VLOOKUP(E140:E166,Table2[#All],2,0)</f>
        <v>BANGLORE</v>
      </c>
      <c r="G141" s="4">
        <v>6</v>
      </c>
      <c r="H141" s="5">
        <f>VLOOKUP(C:C,Table1[#All],3,0)</f>
        <v>1400</v>
      </c>
      <c r="I141" s="5">
        <f t="shared" si="2"/>
        <v>8400</v>
      </c>
    </row>
    <row r="142" spans="2:9" x14ac:dyDescent="0.3">
      <c r="B142" s="3">
        <v>46177</v>
      </c>
      <c r="C142" s="4" t="s">
        <v>14</v>
      </c>
      <c r="D142" s="4" t="str">
        <f>VLOOKUP(C:C,Table1[#All],2,0)</f>
        <v>vitamins</v>
      </c>
      <c r="E142" s="4" t="s">
        <v>60</v>
      </c>
      <c r="F142" s="4" t="str">
        <f>VLOOKUP(E141:E167,Table2[#All],2,0)</f>
        <v>BANGLORE</v>
      </c>
      <c r="G142" s="4">
        <v>35</v>
      </c>
      <c r="H142" s="5">
        <f>VLOOKUP(C:C,Table1[#All],3,0)</f>
        <v>425</v>
      </c>
      <c r="I142" s="5">
        <f t="shared" si="2"/>
        <v>14875</v>
      </c>
    </row>
    <row r="143" spans="2:9" x14ac:dyDescent="0.3">
      <c r="B143" s="3">
        <v>46177</v>
      </c>
      <c r="C143" s="4" t="s">
        <v>18</v>
      </c>
      <c r="D143" s="4" t="s">
        <v>39</v>
      </c>
      <c r="E143" s="4" t="s">
        <v>61</v>
      </c>
      <c r="F143" s="4" t="str">
        <f>VLOOKUP(E142:E168,Table2[#All],2,0)</f>
        <v>HYDERABAD</v>
      </c>
      <c r="G143" s="4">
        <v>12</v>
      </c>
      <c r="H143" s="5">
        <v>3200</v>
      </c>
      <c r="I143" s="5">
        <f t="shared" si="2"/>
        <v>38400</v>
      </c>
    </row>
    <row r="144" spans="2:9" x14ac:dyDescent="0.3">
      <c r="B144" s="3">
        <v>46177</v>
      </c>
      <c r="C144" s="4" t="s">
        <v>19</v>
      </c>
      <c r="D144" s="4" t="str">
        <f>VLOOKUP(C:C,Table1[#All],2,0)</f>
        <v>antibiotic</v>
      </c>
      <c r="E144" s="4" t="s">
        <v>61</v>
      </c>
      <c r="F144" s="4" t="str">
        <f>VLOOKUP(E143:E169,Table2[#All],2,0)</f>
        <v>HYDERABAD</v>
      </c>
      <c r="G144" s="4">
        <v>14</v>
      </c>
      <c r="H144" s="5">
        <f>VLOOKUP(C:C,Table1[#All],3,0)</f>
        <v>1560</v>
      </c>
      <c r="I144" s="5">
        <f t="shared" si="2"/>
        <v>21840</v>
      </c>
    </row>
    <row r="145" spans="2:9" x14ac:dyDescent="0.3">
      <c r="B145" s="3">
        <v>46177</v>
      </c>
      <c r="C145" s="4" t="s">
        <v>20</v>
      </c>
      <c r="D145" s="4" t="str">
        <f>VLOOKUP(C:C,Table1[#All],2,0)</f>
        <v>analgesic</v>
      </c>
      <c r="E145" s="4" t="s">
        <v>61</v>
      </c>
      <c r="F145" s="4" t="str">
        <f>VLOOKUP(E144:E170,Table2[#All],2,0)</f>
        <v>HYDERABAD</v>
      </c>
      <c r="G145" s="4">
        <v>9</v>
      </c>
      <c r="H145" s="5">
        <f>VLOOKUP(C:C,Table1[#All],3,0)</f>
        <v>800</v>
      </c>
      <c r="I145" s="5">
        <f t="shared" si="2"/>
        <v>7200</v>
      </c>
    </row>
    <row r="146" spans="2:9" x14ac:dyDescent="0.3">
      <c r="B146" s="3">
        <v>46177</v>
      </c>
      <c r="C146" s="4" t="s">
        <v>20</v>
      </c>
      <c r="D146" s="4" t="str">
        <f>VLOOKUP(C:C,Table1[#All],2,0)</f>
        <v>analgesic</v>
      </c>
      <c r="E146" s="4" t="s">
        <v>54</v>
      </c>
      <c r="F146" s="4" t="str">
        <f>VLOOKUP(E145:E171,Table2[#All],2,0)</f>
        <v>DELHI</v>
      </c>
      <c r="G146" s="4">
        <v>15</v>
      </c>
      <c r="H146" s="5">
        <f>VLOOKUP(C:C,Table1[#All],3,0)</f>
        <v>800</v>
      </c>
      <c r="I146" s="5">
        <f t="shared" si="2"/>
        <v>12000</v>
      </c>
    </row>
    <row r="147" spans="2:9" x14ac:dyDescent="0.3">
      <c r="B147" s="3">
        <v>46177</v>
      </c>
      <c r="C147" s="4" t="s">
        <v>10</v>
      </c>
      <c r="D147" s="4" t="str">
        <f>VLOOKUP(C:C,Table1[#All],2,0)</f>
        <v>antacids</v>
      </c>
      <c r="E147" s="4" t="s">
        <v>54</v>
      </c>
      <c r="F147" s="4" t="str">
        <f>VLOOKUP(E146:E172,Table2[#All],2,0)</f>
        <v>DELHI</v>
      </c>
      <c r="G147" s="4">
        <v>10</v>
      </c>
      <c r="H147" s="5">
        <f>VLOOKUP(C:C,Table1[#All],3,0)</f>
        <v>1658</v>
      </c>
      <c r="I147" s="5">
        <f t="shared" si="2"/>
        <v>16580</v>
      </c>
    </row>
    <row r="148" spans="2:9" x14ac:dyDescent="0.3">
      <c r="B148" s="3">
        <v>46177</v>
      </c>
      <c r="C148" s="4" t="s">
        <v>19</v>
      </c>
      <c r="D148" s="4" t="str">
        <f>VLOOKUP(C:C,Table1[#All],2,0)</f>
        <v>antibiotic</v>
      </c>
      <c r="E148" s="4" t="s">
        <v>54</v>
      </c>
      <c r="F148" s="4" t="str">
        <f>VLOOKUP(E147:E173,Table2[#All],2,0)</f>
        <v>DELHI</v>
      </c>
      <c r="G148" s="4">
        <v>2</v>
      </c>
      <c r="H148" s="5">
        <f>VLOOKUP(C:C,Table1[#All],3,0)</f>
        <v>1560</v>
      </c>
      <c r="I148" s="5">
        <f t="shared" si="2"/>
        <v>3120</v>
      </c>
    </row>
    <row r="149" spans="2:9" x14ac:dyDescent="0.3">
      <c r="B149" s="3">
        <v>46177</v>
      </c>
      <c r="C149" s="4" t="s">
        <v>20</v>
      </c>
      <c r="D149" s="4" t="str">
        <f>VLOOKUP(C:C,Table1[#All],2,0)</f>
        <v>analgesic</v>
      </c>
      <c r="E149" s="4" t="s">
        <v>44</v>
      </c>
      <c r="F149" s="4" t="str">
        <f>VLOOKUP(E148:E174,Table2[#All],2,0)</f>
        <v>BANGLORE</v>
      </c>
      <c r="G149" s="4">
        <v>13</v>
      </c>
      <c r="H149" s="5">
        <f>VLOOKUP(C:C,Table1[#All],3,0)</f>
        <v>800</v>
      </c>
      <c r="I149" s="5">
        <f t="shared" si="2"/>
        <v>10400</v>
      </c>
    </row>
    <row r="150" spans="2:9" x14ac:dyDescent="0.3">
      <c r="B150" s="3">
        <v>46177</v>
      </c>
      <c r="C150" s="4" t="s">
        <v>10</v>
      </c>
      <c r="D150" s="4" t="str">
        <f>VLOOKUP(C:C,Table1[#All],2,0)</f>
        <v>antacids</v>
      </c>
      <c r="E150" s="4" t="s">
        <v>44</v>
      </c>
      <c r="F150" s="4" t="str">
        <f>VLOOKUP(E149:E175,Table2[#All],2,0)</f>
        <v>BANGLORE</v>
      </c>
      <c r="G150" s="4">
        <v>30</v>
      </c>
      <c r="H150" s="5">
        <f>VLOOKUP(C:C,Table1[#All],3,0)</f>
        <v>1658</v>
      </c>
      <c r="I150" s="5">
        <f t="shared" si="2"/>
        <v>49740</v>
      </c>
    </row>
    <row r="151" spans="2:9" x14ac:dyDescent="0.3">
      <c r="B151" s="3">
        <v>46177</v>
      </c>
      <c r="C151" s="4" t="s">
        <v>19</v>
      </c>
      <c r="D151" s="4" t="str">
        <f>VLOOKUP(C:C,Table1[#All],2,0)</f>
        <v>antibiotic</v>
      </c>
      <c r="E151" s="4" t="s">
        <v>60</v>
      </c>
      <c r="F151" s="4" t="str">
        <f>VLOOKUP(E150:E176,Table2[#All],2,0)</f>
        <v>BANGLORE</v>
      </c>
      <c r="G151" s="4">
        <v>26</v>
      </c>
      <c r="H151" s="5">
        <f>VLOOKUP(C:C,Table1[#All],3,0)</f>
        <v>1560</v>
      </c>
      <c r="I151" s="5">
        <f t="shared" si="2"/>
        <v>40560</v>
      </c>
    </row>
    <row r="152" spans="2:9" x14ac:dyDescent="0.3">
      <c r="B152" s="3">
        <v>46177</v>
      </c>
      <c r="C152" s="4" t="s">
        <v>8</v>
      </c>
      <c r="D152" s="4" t="str">
        <f>VLOOKUP(C:C,Table1[#All],2,0)</f>
        <v>analgesic</v>
      </c>
      <c r="E152" s="4" t="s">
        <v>60</v>
      </c>
      <c r="F152" s="4" t="str">
        <f>VLOOKUP(E151:E177,Table2[#All],2,0)</f>
        <v>BANGLORE</v>
      </c>
      <c r="G152" s="4">
        <v>21</v>
      </c>
      <c r="H152" s="5">
        <f>VLOOKUP(C:C,Table1[#All],3,0)</f>
        <v>2100</v>
      </c>
      <c r="I152" s="5">
        <f t="shared" si="2"/>
        <v>44100</v>
      </c>
    </row>
    <row r="153" spans="2:9" x14ac:dyDescent="0.3">
      <c r="B153" s="3">
        <v>46177</v>
      </c>
      <c r="C153" s="4" t="s">
        <v>8</v>
      </c>
      <c r="D153" s="4" t="str">
        <f>VLOOKUP(C:C,Table1[#All],2,0)</f>
        <v>analgesic</v>
      </c>
      <c r="E153" s="4" t="s">
        <v>54</v>
      </c>
      <c r="F153" s="4" t="str">
        <f>VLOOKUP(E152:E178,Table2[#All],2,0)</f>
        <v>DELHI</v>
      </c>
      <c r="G153" s="4">
        <v>11</v>
      </c>
      <c r="H153" s="5">
        <f>VLOOKUP(C:C,Table1[#All],3,0)</f>
        <v>2100</v>
      </c>
      <c r="I153" s="5">
        <f t="shared" si="2"/>
        <v>23100</v>
      </c>
    </row>
    <row r="154" spans="2:9" x14ac:dyDescent="0.3">
      <c r="B154" s="3">
        <v>46177</v>
      </c>
      <c r="C154" s="4" t="s">
        <v>13</v>
      </c>
      <c r="D154" s="4" t="str">
        <f>VLOOKUP(C:C,Table1[#All],2,0)</f>
        <v>antipyretic</v>
      </c>
      <c r="E154" s="4" t="s">
        <v>54</v>
      </c>
      <c r="F154" s="4" t="str">
        <f>VLOOKUP(E153:E179,Table2[#All],2,0)</f>
        <v>DELHI</v>
      </c>
      <c r="G154" s="4">
        <v>34</v>
      </c>
      <c r="H154" s="5">
        <f>VLOOKUP(C:C,Table1[#All],3,0)</f>
        <v>5400</v>
      </c>
      <c r="I154" s="5">
        <f t="shared" si="2"/>
        <v>183600</v>
      </c>
    </row>
    <row r="155" spans="2:9" x14ac:dyDescent="0.3">
      <c r="B155" s="3">
        <v>46177</v>
      </c>
      <c r="C155" s="4" t="s">
        <v>20</v>
      </c>
      <c r="D155" s="4" t="str">
        <f>VLOOKUP(C:C,Table1[#All],2,0)</f>
        <v>analgesic</v>
      </c>
      <c r="E155" s="4" t="s">
        <v>55</v>
      </c>
      <c r="F155" s="4" t="str">
        <f>VLOOKUP(E154:E180,Table2[#All],2,0)</f>
        <v>NAGPUR</v>
      </c>
      <c r="G155" s="4">
        <v>14</v>
      </c>
      <c r="H155" s="5">
        <f>VLOOKUP(C:C,Table1[#All],3,0)</f>
        <v>800</v>
      </c>
      <c r="I155" s="5">
        <f t="shared" si="2"/>
        <v>11200</v>
      </c>
    </row>
    <row r="156" spans="2:9" x14ac:dyDescent="0.3">
      <c r="B156" s="3">
        <v>46177</v>
      </c>
      <c r="C156" s="4" t="s">
        <v>12</v>
      </c>
      <c r="D156" s="4" t="str">
        <f>VLOOKUP(C:C,Table1[#All],2,0)</f>
        <v>antihistamines</v>
      </c>
      <c r="E156" s="4" t="s">
        <v>55</v>
      </c>
      <c r="F156" s="4" t="str">
        <f>VLOOKUP(E155:E181,Table2[#All],2,0)</f>
        <v>NAGPUR</v>
      </c>
      <c r="G156" s="4">
        <v>25</v>
      </c>
      <c r="H156" s="5">
        <f>VLOOKUP(C:C,Table1[#All],3,0)</f>
        <v>1400</v>
      </c>
      <c r="I156" s="5">
        <f t="shared" si="2"/>
        <v>35000</v>
      </c>
    </row>
    <row r="157" spans="2:9" x14ac:dyDescent="0.3">
      <c r="B157" s="3">
        <v>46177</v>
      </c>
      <c r="C157" s="4" t="s">
        <v>12</v>
      </c>
      <c r="D157" s="4" t="str">
        <f>VLOOKUP(C:C,Table1[#All],2,0)</f>
        <v>antihistamines</v>
      </c>
      <c r="E157" s="4" t="s">
        <v>55</v>
      </c>
      <c r="F157" s="4" t="str">
        <f>VLOOKUP(E156:E182,Table2[#All],2,0)</f>
        <v>NAGPUR</v>
      </c>
      <c r="G157" s="4">
        <v>9</v>
      </c>
      <c r="H157" s="5">
        <f>VLOOKUP(C:C,Table1[#All],3,0)</f>
        <v>1400</v>
      </c>
      <c r="I157" s="5">
        <f t="shared" si="2"/>
        <v>12600</v>
      </c>
    </row>
    <row r="158" spans="2:9" x14ac:dyDescent="0.3">
      <c r="B158" s="3">
        <v>46177</v>
      </c>
      <c r="C158" s="4" t="s">
        <v>9</v>
      </c>
      <c r="D158" s="4" t="str">
        <f>VLOOKUP(C:C,Table1[#All],2,0)</f>
        <v>antibiotic</v>
      </c>
      <c r="E158" s="4" t="s">
        <v>44</v>
      </c>
      <c r="F158" s="4" t="str">
        <f>VLOOKUP(E157:E183,Table2[#All],2,0)</f>
        <v>BANGLORE</v>
      </c>
      <c r="G158" s="4">
        <v>17</v>
      </c>
      <c r="H158" s="5">
        <f>VLOOKUP(C:C,Table1[#All],3,0)</f>
        <v>400</v>
      </c>
      <c r="I158" s="5">
        <f t="shared" si="2"/>
        <v>6800</v>
      </c>
    </row>
    <row r="159" spans="2:9" x14ac:dyDescent="0.3">
      <c r="B159" s="3">
        <v>46177</v>
      </c>
      <c r="C159" s="4" t="s">
        <v>10</v>
      </c>
      <c r="D159" s="4" t="str">
        <f>VLOOKUP(C:C,Table1[#All],2,0)</f>
        <v>antacids</v>
      </c>
      <c r="E159" s="4" t="s">
        <v>44</v>
      </c>
      <c r="F159" s="4" t="str">
        <f>VLOOKUP(E158:E184,Table2[#All],2,0)</f>
        <v>BANGLORE</v>
      </c>
      <c r="G159" s="4">
        <v>33</v>
      </c>
      <c r="H159" s="5">
        <f>VLOOKUP(C:C,Table1[#All],3,0)</f>
        <v>1658</v>
      </c>
      <c r="I159" s="5">
        <f t="shared" si="2"/>
        <v>54714</v>
      </c>
    </row>
    <row r="160" spans="2:9" x14ac:dyDescent="0.3">
      <c r="B160" s="3">
        <v>46177</v>
      </c>
      <c r="C160" s="4" t="s">
        <v>17</v>
      </c>
      <c r="D160" s="4" t="str">
        <f>VLOOKUP(C:C,Table1[#All],2,0)</f>
        <v>antidiabetic</v>
      </c>
      <c r="E160" s="4" t="s">
        <v>61</v>
      </c>
      <c r="F160" s="4" t="str">
        <f>VLOOKUP(E159:E185,Table2[#All],2,0)</f>
        <v>HYDERABAD</v>
      </c>
      <c r="G160" s="4">
        <v>20</v>
      </c>
      <c r="H160" s="5">
        <f>VLOOKUP(C:C,Table1[#All],3,0)</f>
        <v>1080</v>
      </c>
      <c r="I160" s="5">
        <f t="shared" si="2"/>
        <v>21600</v>
      </c>
    </row>
    <row r="161" spans="2:9" x14ac:dyDescent="0.3">
      <c r="B161" s="3">
        <v>46177</v>
      </c>
      <c r="C161" s="4" t="s">
        <v>8</v>
      </c>
      <c r="D161" s="4" t="str">
        <f>VLOOKUP(C:C,Table1[#All],2,0)</f>
        <v>analgesic</v>
      </c>
      <c r="E161" s="4" t="s">
        <v>61</v>
      </c>
      <c r="F161" s="4" t="str">
        <f>VLOOKUP(E160:E186,Table2[#All],2,0)</f>
        <v>HYDERABAD</v>
      </c>
      <c r="G161" s="4">
        <v>9</v>
      </c>
      <c r="H161" s="5">
        <f>VLOOKUP(C:C,Table1[#All],3,0)</f>
        <v>2100</v>
      </c>
      <c r="I161" s="5">
        <f t="shared" si="2"/>
        <v>18900</v>
      </c>
    </row>
    <row r="162" spans="2:9" x14ac:dyDescent="0.3">
      <c r="B162" s="3">
        <v>46177</v>
      </c>
      <c r="C162" s="4" t="s">
        <v>14</v>
      </c>
      <c r="D162" s="4" t="s">
        <v>39</v>
      </c>
      <c r="E162" s="4" t="s">
        <v>54</v>
      </c>
      <c r="F162" s="4" t="str">
        <f>VLOOKUP(E161:E187,Table2[#All],2,0)</f>
        <v>DELHI</v>
      </c>
      <c r="G162" s="4">
        <v>14</v>
      </c>
      <c r="H162" s="5">
        <f>VLOOKUP(C:C,Table1[#All],3,0)</f>
        <v>425</v>
      </c>
      <c r="I162" s="5">
        <f t="shared" si="2"/>
        <v>5950</v>
      </c>
    </row>
    <row r="163" spans="2:9" x14ac:dyDescent="0.3">
      <c r="B163" s="3">
        <v>46177</v>
      </c>
      <c r="C163" s="4" t="s">
        <v>11</v>
      </c>
      <c r="D163" s="4" t="str">
        <f>VLOOKUP(C:C,Table1[#All],2,0)</f>
        <v>antacids</v>
      </c>
      <c r="E163" s="4" t="s">
        <v>55</v>
      </c>
      <c r="F163" s="4" t="str">
        <f>VLOOKUP(E162:E188,Table2[#All],2,0)</f>
        <v>NAGPUR</v>
      </c>
      <c r="G163" s="4">
        <v>5</v>
      </c>
      <c r="H163" s="5">
        <f>VLOOKUP(C:C,Table1[#All],3,0)</f>
        <v>3216</v>
      </c>
      <c r="I163" s="5">
        <f t="shared" si="2"/>
        <v>16080</v>
      </c>
    </row>
    <row r="164" spans="2:9" x14ac:dyDescent="0.3">
      <c r="B164" s="3">
        <v>46222</v>
      </c>
      <c r="C164" s="4" t="s">
        <v>12</v>
      </c>
      <c r="D164" s="4" t="str">
        <f>VLOOKUP(C164:C188,Table1[],2,0)</f>
        <v>antihistamines</v>
      </c>
      <c r="E164" s="4" t="s">
        <v>45</v>
      </c>
      <c r="F164" s="4" t="str">
        <f>VLOOKUP(E163:E189,Table2[#All],2,0)</f>
        <v>PUNE</v>
      </c>
      <c r="G164" s="4">
        <v>23</v>
      </c>
      <c r="H164" s="5">
        <f>VLOOKUP(C:C,Table1[#All],3,0)</f>
        <v>1400</v>
      </c>
      <c r="I164" s="5">
        <f t="shared" si="2"/>
        <v>32200</v>
      </c>
    </row>
    <row r="165" spans="2:9" x14ac:dyDescent="0.3">
      <c r="B165" s="3">
        <v>46222</v>
      </c>
      <c r="C165" s="4" t="s">
        <v>15</v>
      </c>
      <c r="D165" s="4" t="s">
        <v>40</v>
      </c>
      <c r="E165" s="4" t="s">
        <v>45</v>
      </c>
      <c r="F165" s="4" t="str">
        <f>VLOOKUP(E164:E190,Table2[#All],2,0)</f>
        <v>PUNE</v>
      </c>
      <c r="G165" s="4">
        <v>16</v>
      </c>
      <c r="H165" s="5">
        <v>300</v>
      </c>
      <c r="I165" s="5">
        <f t="shared" si="2"/>
        <v>4800</v>
      </c>
    </row>
    <row r="166" spans="2:9" x14ac:dyDescent="0.3">
      <c r="B166" s="3">
        <v>46222</v>
      </c>
      <c r="C166" s="4" t="s">
        <v>14</v>
      </c>
      <c r="D166" s="4" t="str">
        <f>VLOOKUP(C166:C190,Table1[],2,0)</f>
        <v>vitamins</v>
      </c>
      <c r="E166" s="4" t="s">
        <v>62</v>
      </c>
      <c r="F166" s="4" t="str">
        <f>VLOOKUP(E165:E191,Table2[#All],2,0)</f>
        <v>CHENNAI</v>
      </c>
      <c r="G166" s="4">
        <v>10</v>
      </c>
      <c r="H166" s="5">
        <f>VLOOKUP(C:C,Table1[#All],3,0)</f>
        <v>425</v>
      </c>
      <c r="I166" s="5">
        <f t="shared" si="2"/>
        <v>4250</v>
      </c>
    </row>
    <row r="167" spans="2:9" x14ac:dyDescent="0.3">
      <c r="B167" s="3">
        <v>46222</v>
      </c>
      <c r="C167" s="4" t="s">
        <v>17</v>
      </c>
      <c r="D167" s="4" t="str">
        <f>VLOOKUP(C167:C191,Table1[],2,0)</f>
        <v>antidiabetic</v>
      </c>
      <c r="E167" s="4" t="s">
        <v>62</v>
      </c>
      <c r="F167" s="4" t="str">
        <f>VLOOKUP(E166:E192,Table2[#All],2,0)</f>
        <v>CHENNAI</v>
      </c>
      <c r="G167" s="4">
        <v>5</v>
      </c>
      <c r="H167" s="5">
        <f>VLOOKUP(C:C,Table1[#All],3,0)</f>
        <v>1080</v>
      </c>
      <c r="I167" s="5">
        <f t="shared" si="2"/>
        <v>5400</v>
      </c>
    </row>
    <row r="168" spans="2:9" x14ac:dyDescent="0.3">
      <c r="B168" s="3">
        <v>46222</v>
      </c>
      <c r="C168" s="4" t="s">
        <v>8</v>
      </c>
      <c r="D168" s="4" t="str">
        <f>VLOOKUP(C168:C192,Table1[],2,0)</f>
        <v>analgesic</v>
      </c>
      <c r="E168" s="4" t="s">
        <v>62</v>
      </c>
      <c r="F168" s="4" t="str">
        <f>VLOOKUP(E167:E193,Table2[#All],2,0)</f>
        <v>CHENNAI</v>
      </c>
      <c r="G168" s="4">
        <v>8</v>
      </c>
      <c r="H168" s="5">
        <f>VLOOKUP(C:C,Table1[#All],3,0)</f>
        <v>2100</v>
      </c>
      <c r="I168" s="5">
        <f t="shared" si="2"/>
        <v>16800</v>
      </c>
    </row>
    <row r="169" spans="2:9" x14ac:dyDescent="0.3">
      <c r="B169" s="3">
        <v>46222</v>
      </c>
      <c r="C169" s="4" t="s">
        <v>17</v>
      </c>
      <c r="D169" s="4" t="str">
        <f>VLOOKUP(C169:C193,Table1[],2,0)</f>
        <v>antidiabetic</v>
      </c>
      <c r="E169" s="4" t="s">
        <v>56</v>
      </c>
      <c r="F169" s="4" t="str">
        <f>VLOOKUP(E168:E194,Table2[#All],2,0)</f>
        <v>PUNE</v>
      </c>
      <c r="G169" s="4">
        <v>50</v>
      </c>
      <c r="H169" s="5">
        <f>VLOOKUP(C:C,Table1[#All],3,0)</f>
        <v>1080</v>
      </c>
      <c r="I169" s="5">
        <f t="shared" si="2"/>
        <v>54000</v>
      </c>
    </row>
    <row r="170" spans="2:9" x14ac:dyDescent="0.3">
      <c r="B170" s="3">
        <v>46222</v>
      </c>
      <c r="C170" s="4" t="s">
        <v>18</v>
      </c>
      <c r="D170" s="4" t="s">
        <v>39</v>
      </c>
      <c r="E170" s="4" t="s">
        <v>56</v>
      </c>
      <c r="F170" s="4" t="str">
        <f>VLOOKUP(E169:E195,Table2[#All],2,0)</f>
        <v>PUNE</v>
      </c>
      <c r="G170" s="4">
        <v>31</v>
      </c>
      <c r="H170" s="5">
        <v>3200</v>
      </c>
      <c r="I170" s="5">
        <f t="shared" si="2"/>
        <v>99200</v>
      </c>
    </row>
    <row r="171" spans="2:9" x14ac:dyDescent="0.3">
      <c r="B171" s="3">
        <v>46222</v>
      </c>
      <c r="C171" s="4" t="s">
        <v>8</v>
      </c>
      <c r="D171" s="4" t="str">
        <f>VLOOKUP(C171:C195,Table1[],2,0)</f>
        <v>analgesic</v>
      </c>
      <c r="E171" s="4" t="s">
        <v>47</v>
      </c>
      <c r="F171" s="4" t="str">
        <f>VLOOKUP(E170:E196,Table2[#All],2,0)</f>
        <v>MUMBAI</v>
      </c>
      <c r="G171" s="4">
        <v>14</v>
      </c>
      <c r="H171" s="5">
        <f>VLOOKUP(C:C,Table1[#All],3,0)</f>
        <v>2100</v>
      </c>
      <c r="I171" s="5">
        <f t="shared" si="2"/>
        <v>29400</v>
      </c>
    </row>
    <row r="172" spans="2:9" x14ac:dyDescent="0.3">
      <c r="B172" s="3">
        <v>46222</v>
      </c>
      <c r="C172" s="4" t="s">
        <v>16</v>
      </c>
      <c r="D172" s="4" t="str">
        <f>VLOOKUP(C172:C196,Table1[],2,0)</f>
        <v>antibacterial</v>
      </c>
      <c r="E172" s="4" t="s">
        <v>47</v>
      </c>
      <c r="F172" s="4" t="str">
        <f>VLOOKUP(E171:E197,Table2[#All],2,0)</f>
        <v>MUMBAI</v>
      </c>
      <c r="G172" s="4">
        <v>2</v>
      </c>
      <c r="H172" s="5">
        <f>VLOOKUP(C:C,Table1[#All],3,0)</f>
        <v>1600</v>
      </c>
      <c r="I172" s="5">
        <f t="shared" si="2"/>
        <v>3200</v>
      </c>
    </row>
    <row r="173" spans="2:9" x14ac:dyDescent="0.3">
      <c r="B173" s="3">
        <v>46222</v>
      </c>
      <c r="C173" s="4" t="s">
        <v>13</v>
      </c>
      <c r="D173" s="4" t="str">
        <f>VLOOKUP(C173:C197,Table1[],2,0)</f>
        <v>antipyretic</v>
      </c>
      <c r="E173" s="4" t="s">
        <v>47</v>
      </c>
      <c r="F173" s="4" t="str">
        <f>VLOOKUP(E172:E198,Table2[#All],2,0)</f>
        <v>MUMBAI</v>
      </c>
      <c r="G173" s="4">
        <v>26</v>
      </c>
      <c r="H173" s="5">
        <f>VLOOKUP(C:C,Table1[#All],3,0)</f>
        <v>5400</v>
      </c>
      <c r="I173" s="5">
        <f t="shared" si="2"/>
        <v>140400</v>
      </c>
    </row>
    <row r="174" spans="2:9" x14ac:dyDescent="0.3">
      <c r="B174" s="3">
        <v>46222</v>
      </c>
      <c r="C174" s="4" t="s">
        <v>16</v>
      </c>
      <c r="D174" s="4" t="str">
        <f>VLOOKUP(C174:C198,Table1[],2,0)</f>
        <v>antibacterial</v>
      </c>
      <c r="E174" s="4" t="s">
        <v>46</v>
      </c>
      <c r="F174" s="4" t="str">
        <f>VLOOKUP(E173:E199,Table2[#All],2,0)</f>
        <v>HYDERABAD</v>
      </c>
      <c r="G174" s="4">
        <v>25</v>
      </c>
      <c r="H174" s="5">
        <f>VLOOKUP(C:C,Table1[#All],3,0)</f>
        <v>1600</v>
      </c>
      <c r="I174" s="5">
        <f t="shared" si="2"/>
        <v>40000</v>
      </c>
    </row>
    <row r="175" spans="2:9" x14ac:dyDescent="0.3">
      <c r="B175" s="3">
        <v>46222</v>
      </c>
      <c r="C175" s="4" t="s">
        <v>12</v>
      </c>
      <c r="D175" s="4" t="str">
        <f>VLOOKUP(C175:C199,Table1[],2,0)</f>
        <v>antihistamines</v>
      </c>
      <c r="E175" s="4" t="s">
        <v>46</v>
      </c>
      <c r="F175" s="4" t="str">
        <f>VLOOKUP(E174:E200,Table2[#All],2,0)</f>
        <v>HYDERABAD</v>
      </c>
      <c r="G175" s="4">
        <v>9</v>
      </c>
      <c r="H175" s="5">
        <f>VLOOKUP(C:C,Table1[#All],3,0)</f>
        <v>1400</v>
      </c>
      <c r="I175" s="5">
        <f t="shared" si="2"/>
        <v>12600</v>
      </c>
    </row>
    <row r="176" spans="2:9" x14ac:dyDescent="0.3">
      <c r="B176" s="3">
        <v>46222</v>
      </c>
      <c r="C176" s="4" t="s">
        <v>14</v>
      </c>
      <c r="D176" s="4" t="str">
        <f>VLOOKUP(C176:C200,Table1[],2,0)</f>
        <v>vitamins</v>
      </c>
      <c r="E176" s="4" t="s">
        <v>45</v>
      </c>
      <c r="F176" s="4" t="str">
        <f>VLOOKUP(E175:E201,Table2[#All],2,0)</f>
        <v>PUNE</v>
      </c>
      <c r="G176" s="4">
        <v>5</v>
      </c>
      <c r="H176" s="5">
        <f>VLOOKUP(C:C,Table1[#All],3,0)</f>
        <v>425</v>
      </c>
      <c r="I176" s="5">
        <f t="shared" si="2"/>
        <v>2125</v>
      </c>
    </row>
    <row r="177" spans="2:9" x14ac:dyDescent="0.3">
      <c r="B177" s="3">
        <v>46222</v>
      </c>
      <c r="C177" s="4" t="s">
        <v>18</v>
      </c>
      <c r="D177" s="4" t="s">
        <v>39</v>
      </c>
      <c r="E177" s="4" t="s">
        <v>46</v>
      </c>
      <c r="F177" s="4" t="str">
        <f>VLOOKUP(E176:E202,Table2[#All],2,0)</f>
        <v>HYDERABAD</v>
      </c>
      <c r="G177" s="4">
        <v>14</v>
      </c>
      <c r="H177" s="5">
        <v>3200</v>
      </c>
      <c r="I177" s="5">
        <f t="shared" si="2"/>
        <v>44800</v>
      </c>
    </row>
    <row r="178" spans="2:9" x14ac:dyDescent="0.3">
      <c r="B178" s="3">
        <v>46222</v>
      </c>
      <c r="C178" s="4" t="s">
        <v>9</v>
      </c>
      <c r="D178" s="4" t="str">
        <f>VLOOKUP(C178:C202,Table1[],2,0)</f>
        <v>antibiotic</v>
      </c>
      <c r="E178" s="4" t="s">
        <v>57</v>
      </c>
      <c r="F178" s="4" t="str">
        <f>VLOOKUP(E177:E203,Table2[#All],2,0)</f>
        <v>MUMBAI</v>
      </c>
      <c r="G178" s="4">
        <v>23</v>
      </c>
      <c r="H178" s="5">
        <f>VLOOKUP(C:C,Table1[#All],3,0)</f>
        <v>400</v>
      </c>
      <c r="I178" s="5">
        <f t="shared" si="2"/>
        <v>9200</v>
      </c>
    </row>
    <row r="179" spans="2:9" x14ac:dyDescent="0.3">
      <c r="B179" s="3">
        <v>46222</v>
      </c>
      <c r="C179" s="4" t="s">
        <v>20</v>
      </c>
      <c r="D179" s="4" t="str">
        <f>VLOOKUP(C179:C203,Table1[],2,0)</f>
        <v>analgesic</v>
      </c>
      <c r="E179" s="4" t="s">
        <v>57</v>
      </c>
      <c r="F179" s="4" t="str">
        <f>VLOOKUP(E178:E204,Table2[#All],2,0)</f>
        <v>MUMBAI</v>
      </c>
      <c r="G179" s="4">
        <v>15</v>
      </c>
      <c r="H179" s="5">
        <f>VLOOKUP(C:C,Table1[#All],3,0)</f>
        <v>800</v>
      </c>
      <c r="I179" s="5">
        <f t="shared" si="2"/>
        <v>12000</v>
      </c>
    </row>
    <row r="180" spans="2:9" x14ac:dyDescent="0.3">
      <c r="B180" s="3">
        <v>46222</v>
      </c>
      <c r="C180" s="4" t="s">
        <v>20</v>
      </c>
      <c r="D180" s="4" t="str">
        <f>VLOOKUP(C180:C204,Table1[],2,0)</f>
        <v>analgesic</v>
      </c>
      <c r="E180" s="4" t="s">
        <v>57</v>
      </c>
      <c r="F180" s="4" t="str">
        <f>VLOOKUP(E179:E205,Table2[#All],2,0)</f>
        <v>MUMBAI</v>
      </c>
      <c r="G180" s="4">
        <v>24</v>
      </c>
      <c r="H180" s="5">
        <f>VLOOKUP(C:C,Table1[#All],3,0)</f>
        <v>800</v>
      </c>
      <c r="I180" s="5">
        <f t="shared" si="2"/>
        <v>19200</v>
      </c>
    </row>
    <row r="181" spans="2:9" x14ac:dyDescent="0.3">
      <c r="B181" s="3">
        <v>46222</v>
      </c>
      <c r="C181" s="4" t="s">
        <v>10</v>
      </c>
      <c r="D181" s="4" t="str">
        <f>VLOOKUP(C181:C205,Table1[],2,0)</f>
        <v>antacids</v>
      </c>
      <c r="E181" s="4" t="s">
        <v>48</v>
      </c>
      <c r="F181" s="4" t="str">
        <f>VLOOKUP(E180:E206,Table2[#All],2,0)</f>
        <v>CHENNAI</v>
      </c>
      <c r="G181" s="4">
        <v>10</v>
      </c>
      <c r="H181" s="5">
        <f>VLOOKUP(C:C,Table1[#All],3,0)</f>
        <v>1658</v>
      </c>
      <c r="I181" s="5">
        <f t="shared" si="2"/>
        <v>16580</v>
      </c>
    </row>
    <row r="182" spans="2:9" x14ac:dyDescent="0.3">
      <c r="B182" s="3">
        <v>46222</v>
      </c>
      <c r="C182" s="4" t="s">
        <v>19</v>
      </c>
      <c r="D182" s="4" t="str">
        <f>VLOOKUP(C182:C206,Table1[],2,0)</f>
        <v>antibiotic</v>
      </c>
      <c r="E182" s="4" t="s">
        <v>48</v>
      </c>
      <c r="F182" s="4" t="str">
        <f>VLOOKUP(E181:E207,Table2[#All],2,0)</f>
        <v>CHENNAI</v>
      </c>
      <c r="G182" s="4">
        <v>11</v>
      </c>
      <c r="H182" s="5">
        <f>VLOOKUP(C:C,Table1[#All],3,0)</f>
        <v>1560</v>
      </c>
      <c r="I182" s="5">
        <f t="shared" si="2"/>
        <v>17160</v>
      </c>
    </row>
    <row r="183" spans="2:9" x14ac:dyDescent="0.3">
      <c r="B183" s="3">
        <v>46222</v>
      </c>
      <c r="C183" s="4" t="s">
        <v>20</v>
      </c>
      <c r="D183" s="4" t="str">
        <f>VLOOKUP(C183:C207,Table1[],2,0)</f>
        <v>analgesic</v>
      </c>
      <c r="E183" s="4" t="s">
        <v>55</v>
      </c>
      <c r="F183" s="4" t="str">
        <f>VLOOKUP(E182:E208,Table2[#All],2,0)</f>
        <v>NAGPUR</v>
      </c>
      <c r="G183" s="4">
        <v>9</v>
      </c>
      <c r="H183" s="5">
        <f>VLOOKUP(C:C,Table1[#All],3,0)</f>
        <v>800</v>
      </c>
      <c r="I183" s="5">
        <f t="shared" si="2"/>
        <v>7200</v>
      </c>
    </row>
    <row r="184" spans="2:9" x14ac:dyDescent="0.3">
      <c r="B184" s="3">
        <v>46222</v>
      </c>
      <c r="C184" s="4" t="s">
        <v>10</v>
      </c>
      <c r="D184" s="4" t="str">
        <f>VLOOKUP(C184:C208,Table1[],2,0)</f>
        <v>antacids</v>
      </c>
      <c r="E184" s="4" t="s">
        <v>55</v>
      </c>
      <c r="F184" s="4" t="str">
        <f>VLOOKUP(E183:E209,Table2[#All],2,0)</f>
        <v>NAGPUR</v>
      </c>
      <c r="G184" s="4">
        <v>35</v>
      </c>
      <c r="H184" s="5">
        <f>VLOOKUP(C:C,Table1[#All],3,0)</f>
        <v>1658</v>
      </c>
      <c r="I184" s="5">
        <f t="shared" si="2"/>
        <v>58030</v>
      </c>
    </row>
    <row r="185" spans="2:9" x14ac:dyDescent="0.3">
      <c r="B185" s="3">
        <v>46222</v>
      </c>
      <c r="C185" s="4" t="s">
        <v>15</v>
      </c>
      <c r="D185" s="4" t="s">
        <v>40</v>
      </c>
      <c r="E185" s="4" t="s">
        <v>55</v>
      </c>
      <c r="F185" s="4" t="str">
        <f>VLOOKUP(E184:E210,Table2[#All],2,0)</f>
        <v>NAGPUR</v>
      </c>
      <c r="G185" s="4">
        <v>14</v>
      </c>
      <c r="H185" s="5">
        <v>300</v>
      </c>
      <c r="I185" s="5">
        <f t="shared" si="2"/>
        <v>4200</v>
      </c>
    </row>
    <row r="186" spans="2:9" x14ac:dyDescent="0.3">
      <c r="B186" s="3">
        <v>46222</v>
      </c>
      <c r="C186" s="4" t="s">
        <v>8</v>
      </c>
      <c r="D186" s="4" t="str">
        <f>VLOOKUP(C186:C210,Table1[],2,0)</f>
        <v>analgesic</v>
      </c>
      <c r="E186" s="4" t="s">
        <v>55</v>
      </c>
      <c r="F186" s="4" t="str">
        <f>VLOOKUP(E185:E211,Table2[#All],2,0)</f>
        <v>NAGPUR</v>
      </c>
      <c r="G186" s="4">
        <v>17</v>
      </c>
      <c r="H186" s="5">
        <f>VLOOKUP(C:C,Table1[#All],3,0)</f>
        <v>2100</v>
      </c>
      <c r="I186" s="5">
        <f t="shared" si="2"/>
        <v>35700</v>
      </c>
    </row>
    <row r="187" spans="2:9" x14ac:dyDescent="0.3">
      <c r="B187" s="3">
        <v>46222</v>
      </c>
      <c r="C187" s="4" t="s">
        <v>8</v>
      </c>
      <c r="D187" s="4" t="str">
        <f>VLOOKUP(C187:C211,Table1[],2,0)</f>
        <v>analgesic</v>
      </c>
      <c r="E187" s="4" t="s">
        <v>54</v>
      </c>
      <c r="F187" s="4" t="str">
        <f>VLOOKUP(E186:E212,Table2[#All],2,0)</f>
        <v>DELHI</v>
      </c>
      <c r="G187" s="4">
        <v>13</v>
      </c>
      <c r="H187" s="5">
        <f>VLOOKUP(C:C,Table1[#All],3,0)</f>
        <v>2100</v>
      </c>
      <c r="I187" s="5">
        <f t="shared" si="2"/>
        <v>27300</v>
      </c>
    </row>
    <row r="188" spans="2:9" x14ac:dyDescent="0.3">
      <c r="B188" s="3">
        <v>46222</v>
      </c>
      <c r="C188" s="4" t="s">
        <v>12</v>
      </c>
      <c r="D188" s="4" t="str">
        <f>VLOOKUP(C188:C212,Table1[],2,0)</f>
        <v>antihistamines</v>
      </c>
      <c r="E188" s="4" t="s">
        <v>54</v>
      </c>
      <c r="F188" s="4" t="str">
        <f>VLOOKUP(E187:E213,Table2[#All],2,0)</f>
        <v>DELHI</v>
      </c>
      <c r="G188" s="4">
        <v>55</v>
      </c>
      <c r="H188" s="5">
        <f>VLOOKUP(C:C,Table1[#All],3,0)</f>
        <v>1400</v>
      </c>
      <c r="I188" s="5">
        <f t="shared" si="2"/>
        <v>77000</v>
      </c>
    </row>
    <row r="189" spans="2:9" x14ac:dyDescent="0.3">
      <c r="B189" s="3">
        <v>46222</v>
      </c>
      <c r="C189" s="4" t="s">
        <v>12</v>
      </c>
      <c r="D189" s="4" t="str">
        <f>VLOOKUP(C189:C213,Table1[],2,0)</f>
        <v>antihistamines</v>
      </c>
      <c r="E189" s="4" t="s">
        <v>54</v>
      </c>
      <c r="F189" s="4" t="str">
        <f>VLOOKUP(E188:E214,Table2[#All],2,0)</f>
        <v>DELHI</v>
      </c>
      <c r="G189" s="4">
        <v>26</v>
      </c>
      <c r="H189" s="5">
        <f>VLOOKUP(C:C,Table1[#All],3,0)</f>
        <v>1400</v>
      </c>
      <c r="I189" s="5">
        <f t="shared" si="2"/>
        <v>36400</v>
      </c>
    </row>
    <row r="190" spans="2:9" x14ac:dyDescent="0.3">
      <c r="B190" s="3">
        <v>46222</v>
      </c>
      <c r="C190" s="4" t="s">
        <v>11</v>
      </c>
      <c r="D190" s="4" t="str">
        <f>VLOOKUP(C190:C214,Table1[],2,0)</f>
        <v>antacids</v>
      </c>
      <c r="E190" s="4" t="s">
        <v>47</v>
      </c>
      <c r="F190" s="4" t="str">
        <f>VLOOKUP(E189:E215,Table2[#All],2,0)</f>
        <v>MUMBAI</v>
      </c>
      <c r="G190" s="4">
        <v>8</v>
      </c>
      <c r="H190" s="5">
        <f>VLOOKUP(C:C,Table1[#All],3,0)</f>
        <v>3216</v>
      </c>
      <c r="I190" s="5">
        <f t="shared" si="2"/>
        <v>25728</v>
      </c>
    </row>
    <row r="191" spans="2:9" x14ac:dyDescent="0.3">
      <c r="B191" s="3">
        <v>46222</v>
      </c>
      <c r="C191" s="4" t="s">
        <v>8</v>
      </c>
      <c r="D191" s="4" t="str">
        <f>VLOOKUP(C191:C215,Table1[],2,0)</f>
        <v>analgesic</v>
      </c>
      <c r="E191" s="4" t="s">
        <v>47</v>
      </c>
      <c r="F191" s="4" t="str">
        <f>VLOOKUP(E190:E216,Table2[#All],2,0)</f>
        <v>MUMBAI</v>
      </c>
      <c r="G191" s="4">
        <v>20</v>
      </c>
      <c r="H191" s="5">
        <f>VLOOKUP(C:C,Table1[#All],3,0)</f>
        <v>2100</v>
      </c>
      <c r="I191" s="5">
        <f t="shared" si="2"/>
        <v>42000</v>
      </c>
    </row>
    <row r="192" spans="2:9" x14ac:dyDescent="0.3">
      <c r="B192" s="3">
        <v>46222</v>
      </c>
      <c r="C192" s="4" t="s">
        <v>13</v>
      </c>
      <c r="D192" s="4" t="str">
        <f>VLOOKUP(C192:C216,Table1[],2,0)</f>
        <v>antipyretic</v>
      </c>
      <c r="E192" s="4" t="s">
        <v>64</v>
      </c>
      <c r="F192" s="4" t="str">
        <f>VLOOKUP(E191:E217,Table2[#All],2,0)</f>
        <v>NAGPUR</v>
      </c>
      <c r="G192" s="4">
        <v>14</v>
      </c>
      <c r="H192" s="5">
        <f>VLOOKUP(C:C,Table1[#All],3,0)</f>
        <v>5400</v>
      </c>
      <c r="I192" s="5">
        <f t="shared" si="2"/>
        <v>75600</v>
      </c>
    </row>
    <row r="193" spans="2:9" x14ac:dyDescent="0.3">
      <c r="B193" s="3">
        <v>46222</v>
      </c>
      <c r="C193" s="4" t="s">
        <v>8</v>
      </c>
      <c r="D193" s="4" t="str">
        <f>VLOOKUP(C193:C217,Table1[],2,0)</f>
        <v>analgesic</v>
      </c>
      <c r="E193" s="4" t="s">
        <v>64</v>
      </c>
      <c r="F193" s="4" t="str">
        <f>VLOOKUP(E192:E218,Table2[#All],2,0)</f>
        <v>NAGPUR</v>
      </c>
      <c r="G193" s="4">
        <v>32</v>
      </c>
      <c r="H193" s="5">
        <f>VLOOKUP(C:C,Table1[#All],3,0)</f>
        <v>2100</v>
      </c>
      <c r="I193" s="5">
        <f t="shared" si="2"/>
        <v>67200</v>
      </c>
    </row>
    <row r="194" spans="2:9" x14ac:dyDescent="0.3">
      <c r="B194" s="3">
        <v>46222</v>
      </c>
      <c r="C194" s="4" t="s">
        <v>10</v>
      </c>
      <c r="D194" s="4" t="str">
        <f>VLOOKUP(C194:C218,Table1[],2,0)</f>
        <v>antacids</v>
      </c>
      <c r="E194" s="4" t="s">
        <v>64</v>
      </c>
      <c r="F194" s="4" t="str">
        <f>VLOOKUP(E193:E219,Table2[#All],2,0)</f>
        <v>NAGPUR</v>
      </c>
      <c r="G194" s="4">
        <v>12</v>
      </c>
      <c r="H194" s="5">
        <f>VLOOKUP(C:C,Table1[#All],3,0)</f>
        <v>1658</v>
      </c>
      <c r="I194" s="5">
        <f t="shared" si="2"/>
        <v>19896</v>
      </c>
    </row>
    <row r="195" spans="2:9" x14ac:dyDescent="0.3">
      <c r="B195" s="3">
        <v>46222</v>
      </c>
      <c r="C195" s="4" t="s">
        <v>17</v>
      </c>
      <c r="D195" s="4" t="str">
        <f>VLOOKUP(C195:C219,Table1[],2,0)</f>
        <v>antidiabetic</v>
      </c>
      <c r="E195" s="4" t="s">
        <v>64</v>
      </c>
      <c r="F195" s="4" t="str">
        <f>VLOOKUP(E194:E220,Table2[#All],2,0)</f>
        <v>NAGPUR</v>
      </c>
      <c r="G195" s="4">
        <v>16</v>
      </c>
      <c r="H195" s="5">
        <f>VLOOKUP(C:C,Table1[#All],3,0)</f>
        <v>1080</v>
      </c>
      <c r="I195" s="5">
        <f t="shared" ref="I195:I258" si="3">G:G*H:H</f>
        <v>17280</v>
      </c>
    </row>
    <row r="196" spans="2:9" x14ac:dyDescent="0.3">
      <c r="B196" s="3">
        <v>46222</v>
      </c>
      <c r="C196" s="4" t="s">
        <v>11</v>
      </c>
      <c r="D196" s="4" t="str">
        <f>VLOOKUP(C196:C220,Table1[],2,0)</f>
        <v>antacids</v>
      </c>
      <c r="E196" s="4" t="s">
        <v>44</v>
      </c>
      <c r="F196" s="4" t="str">
        <f>VLOOKUP(E195:E221,Table2[#All],2,0)</f>
        <v>BANGLORE</v>
      </c>
      <c r="G196" s="4">
        <v>14</v>
      </c>
      <c r="H196" s="5">
        <f>VLOOKUP(C:C,Table1[#All],3,0)</f>
        <v>3216</v>
      </c>
      <c r="I196" s="5">
        <f t="shared" si="3"/>
        <v>45024</v>
      </c>
    </row>
    <row r="197" spans="2:9" x14ac:dyDescent="0.3">
      <c r="B197" s="3">
        <v>46222</v>
      </c>
      <c r="C197" s="4" t="s">
        <v>11</v>
      </c>
      <c r="D197" s="4" t="str">
        <f>VLOOKUP(C197:C221,Table1[],2,0)</f>
        <v>antacids</v>
      </c>
      <c r="E197" s="4" t="s">
        <v>60</v>
      </c>
      <c r="F197" s="4" t="str">
        <f>VLOOKUP(E196:E222,Table2[#All],2,0)</f>
        <v>BANGLORE</v>
      </c>
      <c r="G197" s="4">
        <v>4</v>
      </c>
      <c r="H197" s="5">
        <f>VLOOKUP(C:C,Table1[#All],3,0)</f>
        <v>3216</v>
      </c>
      <c r="I197" s="5">
        <f t="shared" si="3"/>
        <v>12864</v>
      </c>
    </row>
    <row r="198" spans="2:9" x14ac:dyDescent="0.3">
      <c r="B198" s="3">
        <v>46222</v>
      </c>
      <c r="C198" s="4" t="s">
        <v>13</v>
      </c>
      <c r="D198" s="4" t="str">
        <f>VLOOKUP(C198:C222,Table1[],2,0)</f>
        <v>antipyretic</v>
      </c>
      <c r="E198" s="4" t="s">
        <v>60</v>
      </c>
      <c r="F198" s="4" t="str">
        <f>VLOOKUP(E197:E223,Table2[#All],2,0)</f>
        <v>BANGLORE</v>
      </c>
      <c r="G198" s="4">
        <v>26</v>
      </c>
      <c r="H198" s="5">
        <f>VLOOKUP(C:C,Table1[#All],3,0)</f>
        <v>5400</v>
      </c>
      <c r="I198" s="5">
        <f t="shared" si="3"/>
        <v>140400</v>
      </c>
    </row>
    <row r="199" spans="2:9" x14ac:dyDescent="0.3">
      <c r="B199" s="3">
        <v>46222</v>
      </c>
      <c r="C199" s="4" t="s">
        <v>9</v>
      </c>
      <c r="D199" s="4" t="str">
        <f>VLOOKUP(C199:C223,Table1[],2,0)</f>
        <v>antibiotic</v>
      </c>
      <c r="E199" s="4" t="s">
        <v>60</v>
      </c>
      <c r="F199" s="4" t="str">
        <f>VLOOKUP(E198:E224,Table2[#All],2,0)</f>
        <v>BANGLORE</v>
      </c>
      <c r="G199" s="4">
        <v>10</v>
      </c>
      <c r="H199" s="5">
        <f>VLOOKUP(C:C,Table1[#All],3,0)</f>
        <v>400</v>
      </c>
      <c r="I199" s="5">
        <f t="shared" si="3"/>
        <v>4000</v>
      </c>
    </row>
    <row r="200" spans="2:9" x14ac:dyDescent="0.3">
      <c r="B200" s="3">
        <v>46222</v>
      </c>
      <c r="C200" s="4" t="s">
        <v>12</v>
      </c>
      <c r="D200" s="4" t="str">
        <f>VLOOKUP(C200:C224,Table1[],2,0)</f>
        <v>antihistamines</v>
      </c>
      <c r="E200" s="4" t="s">
        <v>60</v>
      </c>
      <c r="F200" s="4" t="str">
        <f>VLOOKUP(E199:E225,Table2[#All],2,0)</f>
        <v>BANGLORE</v>
      </c>
      <c r="G200" s="4">
        <v>18</v>
      </c>
      <c r="H200" s="5">
        <f>VLOOKUP(C:C,Table1[#All],3,0)</f>
        <v>1400</v>
      </c>
      <c r="I200" s="5">
        <f t="shared" si="3"/>
        <v>25200</v>
      </c>
    </row>
    <row r="201" spans="2:9" x14ac:dyDescent="0.3">
      <c r="B201" s="3">
        <v>46257</v>
      </c>
      <c r="C201" s="4" t="s">
        <v>13</v>
      </c>
      <c r="D201" s="4" t="str">
        <f>VLOOKUP(C201:C225,Table1[],2,0)</f>
        <v>antipyretic</v>
      </c>
      <c r="E201" s="4" t="s">
        <v>61</v>
      </c>
      <c r="F201" s="4" t="str">
        <f>VLOOKUP(E200:E226,Table2[#All],2,0)</f>
        <v>HYDERABAD</v>
      </c>
      <c r="G201" s="4">
        <v>25</v>
      </c>
      <c r="H201" s="5">
        <f>VLOOKUP(C:C,Table1[#All],3,0)</f>
        <v>5400</v>
      </c>
      <c r="I201" s="5">
        <f t="shared" si="3"/>
        <v>135000</v>
      </c>
    </row>
    <row r="202" spans="2:9" x14ac:dyDescent="0.3">
      <c r="B202" s="3">
        <v>46257</v>
      </c>
      <c r="C202" s="4" t="s">
        <v>16</v>
      </c>
      <c r="D202" s="4" t="str">
        <f>VLOOKUP(C202:C226,Table1[],2,0)</f>
        <v>antibacterial</v>
      </c>
      <c r="E202" s="4" t="s">
        <v>61</v>
      </c>
      <c r="F202" s="4" t="str">
        <f>VLOOKUP(E201:E227,Table2[#All],2,0)</f>
        <v>HYDERABAD</v>
      </c>
      <c r="G202" s="4">
        <v>15</v>
      </c>
      <c r="H202" s="5">
        <f>VLOOKUP(C:C,Table1[#All],3,0)</f>
        <v>1600</v>
      </c>
      <c r="I202" s="5">
        <f t="shared" si="3"/>
        <v>24000</v>
      </c>
    </row>
    <row r="203" spans="2:9" x14ac:dyDescent="0.3">
      <c r="B203" s="3">
        <v>46257</v>
      </c>
      <c r="C203" s="4" t="s">
        <v>12</v>
      </c>
      <c r="D203" s="4" t="str">
        <f>VLOOKUP(C203:C227,Table1[],2,0)</f>
        <v>antihistamines</v>
      </c>
      <c r="E203" s="4" t="s">
        <v>61</v>
      </c>
      <c r="F203" s="4" t="str">
        <f>VLOOKUP(E202:E228,Table2[#All],2,0)</f>
        <v>HYDERABAD</v>
      </c>
      <c r="G203" s="4">
        <v>20</v>
      </c>
      <c r="H203" s="5">
        <f>VLOOKUP(C:C,Table1[#All],3,0)</f>
        <v>1400</v>
      </c>
      <c r="I203" s="5">
        <f t="shared" si="3"/>
        <v>28000</v>
      </c>
    </row>
    <row r="204" spans="2:9" x14ac:dyDescent="0.3">
      <c r="B204" s="3">
        <v>46257</v>
      </c>
      <c r="C204" s="4" t="s">
        <v>15</v>
      </c>
      <c r="D204" s="4" t="s">
        <v>40</v>
      </c>
      <c r="E204" s="4" t="s">
        <v>55</v>
      </c>
      <c r="F204" s="4" t="str">
        <f>VLOOKUP(E203:E229,Table2[#All],2,0)</f>
        <v>NAGPUR</v>
      </c>
      <c r="G204" s="4">
        <v>8</v>
      </c>
      <c r="H204" s="5">
        <v>300</v>
      </c>
      <c r="I204" s="5">
        <f t="shared" si="3"/>
        <v>2400</v>
      </c>
    </row>
    <row r="205" spans="2:9" x14ac:dyDescent="0.3">
      <c r="B205" s="3">
        <v>46257</v>
      </c>
      <c r="C205" s="4" t="s">
        <v>14</v>
      </c>
      <c r="D205" s="4" t="str">
        <f>VLOOKUP(C205:C229,Table1[],2,0)</f>
        <v>vitamins</v>
      </c>
      <c r="E205" s="4" t="s">
        <v>55</v>
      </c>
      <c r="F205" s="4" t="str">
        <f>VLOOKUP(E204:E230,Table2[#All],2,0)</f>
        <v>NAGPUR</v>
      </c>
      <c r="G205" s="4">
        <v>17</v>
      </c>
      <c r="H205" s="5">
        <f>VLOOKUP(C:C,Table1[#All],3,0)</f>
        <v>425</v>
      </c>
      <c r="I205" s="5">
        <f t="shared" si="3"/>
        <v>7225</v>
      </c>
    </row>
    <row r="206" spans="2:9" x14ac:dyDescent="0.3">
      <c r="B206" s="3">
        <v>46257</v>
      </c>
      <c r="C206" s="4" t="s">
        <v>17</v>
      </c>
      <c r="D206" s="4" t="str">
        <f>VLOOKUP(C206:C230,Table1[],2,0)</f>
        <v>antidiabetic</v>
      </c>
      <c r="E206" s="4" t="s">
        <v>62</v>
      </c>
      <c r="F206" s="4" t="str">
        <f>VLOOKUP(E205:E231,Table2[#All],2,0)</f>
        <v>CHENNAI</v>
      </c>
      <c r="G206" s="4">
        <v>12</v>
      </c>
      <c r="H206" s="5">
        <f>VLOOKUP(C:C,Table1[#All],3,0)</f>
        <v>1080</v>
      </c>
      <c r="I206" s="5">
        <f t="shared" si="3"/>
        <v>12960</v>
      </c>
    </row>
    <row r="207" spans="2:9" x14ac:dyDescent="0.3">
      <c r="B207" s="3">
        <v>46257</v>
      </c>
      <c r="C207" s="4" t="s">
        <v>8</v>
      </c>
      <c r="D207" s="4" t="str">
        <f>VLOOKUP(C207:C231,Table1[],2,0)</f>
        <v>analgesic</v>
      </c>
      <c r="E207" s="4" t="s">
        <v>62</v>
      </c>
      <c r="F207" s="4" t="str">
        <f>VLOOKUP(E206:E232,Table2[#All],2,0)</f>
        <v>CHENNAI</v>
      </c>
      <c r="G207" s="4">
        <v>30</v>
      </c>
      <c r="H207" s="5">
        <f>VLOOKUP(C:C,Table1[#All],3,0)</f>
        <v>2100</v>
      </c>
      <c r="I207" s="5">
        <f t="shared" si="3"/>
        <v>63000</v>
      </c>
    </row>
    <row r="208" spans="2:9" x14ac:dyDescent="0.3">
      <c r="B208" s="3">
        <v>46257</v>
      </c>
      <c r="C208" s="4" t="s">
        <v>17</v>
      </c>
      <c r="D208" s="4" t="str">
        <f>VLOOKUP(C208:C232,Table1[],2,0)</f>
        <v>antidiabetic</v>
      </c>
      <c r="E208" s="4" t="s">
        <v>62</v>
      </c>
      <c r="F208" s="4" t="str">
        <f>VLOOKUP(E207:E233,Table2[#All],2,0)</f>
        <v>CHENNAI</v>
      </c>
      <c r="G208" s="4">
        <v>6</v>
      </c>
      <c r="H208" s="5">
        <f>VLOOKUP(C:C,Table1[#All],3,0)</f>
        <v>1080</v>
      </c>
      <c r="I208" s="5">
        <f t="shared" si="3"/>
        <v>6480</v>
      </c>
    </row>
    <row r="209" spans="2:9" x14ac:dyDescent="0.3">
      <c r="B209" s="3">
        <v>46257</v>
      </c>
      <c r="C209" s="4" t="s">
        <v>18</v>
      </c>
      <c r="D209" s="4" t="s">
        <v>39</v>
      </c>
      <c r="E209" s="4" t="s">
        <v>47</v>
      </c>
      <c r="F209" s="4" t="str">
        <f>VLOOKUP(E208:E234,Table2[#All],2,0)</f>
        <v>MUMBAI</v>
      </c>
      <c r="G209" s="4">
        <v>50</v>
      </c>
      <c r="H209" s="5">
        <v>3200</v>
      </c>
      <c r="I209" s="5">
        <f t="shared" si="3"/>
        <v>160000</v>
      </c>
    </row>
    <row r="210" spans="2:9" x14ac:dyDescent="0.3">
      <c r="B210" s="3">
        <v>46257</v>
      </c>
      <c r="C210" s="4" t="s">
        <v>8</v>
      </c>
      <c r="D210" s="4" t="str">
        <f>VLOOKUP(C210:C234,Table1[],2,0)</f>
        <v>analgesic</v>
      </c>
      <c r="E210" s="4" t="s">
        <v>47</v>
      </c>
      <c r="F210" s="4" t="str">
        <f>VLOOKUP(E209:E235,Table2[#All],2,0)</f>
        <v>MUMBAI</v>
      </c>
      <c r="G210" s="4">
        <v>1</v>
      </c>
      <c r="H210" s="5">
        <f>VLOOKUP(C:C,Table1[#All],3,0)</f>
        <v>2100</v>
      </c>
      <c r="I210" s="5">
        <f t="shared" si="3"/>
        <v>2100</v>
      </c>
    </row>
    <row r="211" spans="2:9" x14ac:dyDescent="0.3">
      <c r="B211" s="3">
        <v>46257</v>
      </c>
      <c r="C211" s="4" t="s">
        <v>16</v>
      </c>
      <c r="D211" s="4" t="str">
        <f>VLOOKUP(C211:C235,Table1[],2,0)</f>
        <v>antibacterial</v>
      </c>
      <c r="E211" s="4" t="s">
        <v>46</v>
      </c>
      <c r="F211" s="4" t="str">
        <f>VLOOKUP(E210:E236,Table2[#All],2,0)</f>
        <v>HYDERABAD</v>
      </c>
      <c r="G211" s="4">
        <v>8</v>
      </c>
      <c r="H211" s="5">
        <f>VLOOKUP(C:C,Table1[#All],3,0)</f>
        <v>1600</v>
      </c>
      <c r="I211" s="5">
        <f t="shared" si="3"/>
        <v>12800</v>
      </c>
    </row>
    <row r="212" spans="2:9" x14ac:dyDescent="0.3">
      <c r="B212" s="3">
        <v>46257</v>
      </c>
      <c r="C212" s="4" t="s">
        <v>13</v>
      </c>
      <c r="D212" s="4" t="str">
        <f>VLOOKUP(C212:C236,Table1[],2,0)</f>
        <v>antipyretic</v>
      </c>
      <c r="E212" s="4" t="s">
        <v>46</v>
      </c>
      <c r="F212" s="4" t="str">
        <f>VLOOKUP(E211:E237,Table2[#All],2,0)</f>
        <v>HYDERABAD</v>
      </c>
      <c r="G212" s="4">
        <v>13</v>
      </c>
      <c r="H212" s="5">
        <f>VLOOKUP(C:C,Table1[#All],3,0)</f>
        <v>5400</v>
      </c>
      <c r="I212" s="5">
        <f t="shared" si="3"/>
        <v>70200</v>
      </c>
    </row>
    <row r="213" spans="2:9" x14ac:dyDescent="0.3">
      <c r="B213" s="3">
        <v>46257</v>
      </c>
      <c r="C213" s="4" t="s">
        <v>16</v>
      </c>
      <c r="D213" s="4" t="str">
        <f>VLOOKUP(C213:C237,Table1[],2,0)</f>
        <v>antibacterial</v>
      </c>
      <c r="E213" s="4" t="s">
        <v>46</v>
      </c>
      <c r="F213" s="4" t="str">
        <f>VLOOKUP(E212:E238,Table2[#All],2,0)</f>
        <v>HYDERABAD</v>
      </c>
      <c r="G213" s="4">
        <v>20</v>
      </c>
      <c r="H213" s="5">
        <f>VLOOKUP(C:C,Table1[#All],3,0)</f>
        <v>1600</v>
      </c>
      <c r="I213" s="5">
        <f t="shared" si="3"/>
        <v>32000</v>
      </c>
    </row>
    <row r="214" spans="2:9" x14ac:dyDescent="0.3">
      <c r="B214" s="3">
        <v>46257</v>
      </c>
      <c r="C214" s="4" t="s">
        <v>12</v>
      </c>
      <c r="D214" s="4" t="str">
        <f>VLOOKUP(C214:C238,Table1[],2,0)</f>
        <v>antihistamines</v>
      </c>
      <c r="E214" s="4" t="s">
        <v>45</v>
      </c>
      <c r="F214" s="4" t="str">
        <f>VLOOKUP(E213:E239,Table2[#All],2,0)</f>
        <v>PUNE</v>
      </c>
      <c r="G214" s="4">
        <v>15</v>
      </c>
      <c r="H214" s="5">
        <f>VLOOKUP(C:C,Table1[#All],3,0)</f>
        <v>1400</v>
      </c>
      <c r="I214" s="5">
        <f t="shared" si="3"/>
        <v>21000</v>
      </c>
    </row>
    <row r="215" spans="2:9" x14ac:dyDescent="0.3">
      <c r="B215" s="3">
        <v>46257</v>
      </c>
      <c r="C215" s="4" t="s">
        <v>14</v>
      </c>
      <c r="D215" s="4" t="str">
        <f>VLOOKUP(C215:C239,Table1[],2,0)</f>
        <v>vitamins</v>
      </c>
      <c r="E215" s="4" t="s">
        <v>45</v>
      </c>
      <c r="F215" s="4" t="str">
        <f>VLOOKUP(E214:E240,Table2[#All],2,0)</f>
        <v>PUNE</v>
      </c>
      <c r="G215" s="4">
        <v>28</v>
      </c>
      <c r="H215" s="5">
        <f>VLOOKUP(C:C,Table1[#All],3,0)</f>
        <v>425</v>
      </c>
      <c r="I215" s="5">
        <f t="shared" si="3"/>
        <v>11900</v>
      </c>
    </row>
    <row r="216" spans="2:9" x14ac:dyDescent="0.3">
      <c r="B216" s="3">
        <v>46257</v>
      </c>
      <c r="C216" s="4" t="s">
        <v>18</v>
      </c>
      <c r="D216" s="4" t="s">
        <v>39</v>
      </c>
      <c r="E216" s="4" t="s">
        <v>45</v>
      </c>
      <c r="F216" s="4" t="str">
        <f>VLOOKUP(E215:E241,Table2[#All],2,0)</f>
        <v>PUNE</v>
      </c>
      <c r="G216" s="4">
        <v>26</v>
      </c>
      <c r="H216" s="5">
        <v>3200</v>
      </c>
      <c r="I216" s="5">
        <f t="shared" si="3"/>
        <v>83200</v>
      </c>
    </row>
    <row r="217" spans="2:9" x14ac:dyDescent="0.3">
      <c r="B217" s="3">
        <v>46257</v>
      </c>
      <c r="C217" s="4" t="s">
        <v>19</v>
      </c>
      <c r="D217" s="4" t="str">
        <f>VLOOKUP(C217:C241,Table1[],2,0)</f>
        <v>antibiotic</v>
      </c>
      <c r="E217" s="4" t="s">
        <v>57</v>
      </c>
      <c r="F217" s="4" t="str">
        <f>VLOOKUP(E216:E242,Table2[#All],2,0)</f>
        <v>MUMBAI</v>
      </c>
      <c r="G217" s="4">
        <v>21</v>
      </c>
      <c r="H217" s="5">
        <f>VLOOKUP(C:C,Table1[#All],3,0)</f>
        <v>1560</v>
      </c>
      <c r="I217" s="5">
        <f t="shared" si="3"/>
        <v>32760</v>
      </c>
    </row>
    <row r="218" spans="2:9" x14ac:dyDescent="0.3">
      <c r="B218" s="3">
        <v>46257</v>
      </c>
      <c r="C218" s="4" t="s">
        <v>20</v>
      </c>
      <c r="D218" s="4" t="str">
        <f>VLOOKUP(C218:C242,Table1[],2,0)</f>
        <v>analgesic</v>
      </c>
      <c r="E218" s="4" t="s">
        <v>57</v>
      </c>
      <c r="F218" s="4" t="str">
        <f>VLOOKUP(E217:E243,Table2[#All],2,0)</f>
        <v>MUMBAI</v>
      </c>
      <c r="G218" s="4">
        <v>9</v>
      </c>
      <c r="H218" s="5">
        <f>VLOOKUP(C:C,Table1[#All],3,0)</f>
        <v>800</v>
      </c>
      <c r="I218" s="5">
        <f t="shared" si="3"/>
        <v>7200</v>
      </c>
    </row>
    <row r="219" spans="2:9" x14ac:dyDescent="0.3">
      <c r="B219" s="3">
        <v>46257</v>
      </c>
      <c r="C219" s="4" t="s">
        <v>20</v>
      </c>
      <c r="D219" s="4" t="str">
        <f>VLOOKUP(C219:C243,Table1[],2,0)</f>
        <v>analgesic</v>
      </c>
      <c r="E219" s="4" t="s">
        <v>56</v>
      </c>
      <c r="F219" s="4" t="str">
        <f>VLOOKUP(E218:E244,Table2[#All],2,0)</f>
        <v>PUNE</v>
      </c>
      <c r="G219" s="4">
        <v>12</v>
      </c>
      <c r="H219" s="5">
        <f>VLOOKUP(C:C,Table1[#All],3,0)</f>
        <v>800</v>
      </c>
      <c r="I219" s="5">
        <f t="shared" si="3"/>
        <v>9600</v>
      </c>
    </row>
    <row r="220" spans="2:9" x14ac:dyDescent="0.3">
      <c r="B220" s="3">
        <v>46257</v>
      </c>
      <c r="C220" s="4" t="s">
        <v>10</v>
      </c>
      <c r="D220" s="4" t="str">
        <f>VLOOKUP(C220:C244,Table1[],2,0)</f>
        <v>antacids</v>
      </c>
      <c r="E220" s="4" t="s">
        <v>54</v>
      </c>
      <c r="F220" s="4" t="str">
        <f>VLOOKUP(E219:E245,Table2[#All],2,0)</f>
        <v>DELHI</v>
      </c>
      <c r="G220" s="4">
        <v>11</v>
      </c>
      <c r="H220" s="5">
        <f>VLOOKUP(C:C,Table1[#All],3,0)</f>
        <v>1658</v>
      </c>
      <c r="I220" s="5">
        <f t="shared" si="3"/>
        <v>18238</v>
      </c>
    </row>
    <row r="221" spans="2:9" x14ac:dyDescent="0.3">
      <c r="B221" s="3">
        <v>46257</v>
      </c>
      <c r="C221" s="4" t="s">
        <v>19</v>
      </c>
      <c r="D221" s="4" t="str">
        <f>VLOOKUP(C221:C245,Table1[],2,0)</f>
        <v>antibiotic</v>
      </c>
      <c r="E221" s="4" t="s">
        <v>54</v>
      </c>
      <c r="F221" s="4" t="str">
        <f>VLOOKUP(E220:E246,Table2[#All],2,0)</f>
        <v>DELHI</v>
      </c>
      <c r="G221" s="4">
        <v>30</v>
      </c>
      <c r="H221" s="5">
        <f>VLOOKUP(C:C,Table1[#All],3,0)</f>
        <v>1560</v>
      </c>
      <c r="I221" s="5">
        <f t="shared" si="3"/>
        <v>46800</v>
      </c>
    </row>
    <row r="222" spans="2:9" x14ac:dyDescent="0.3">
      <c r="B222" s="3">
        <v>46257</v>
      </c>
      <c r="C222" s="4" t="s">
        <v>20</v>
      </c>
      <c r="D222" s="4" t="str">
        <f>VLOOKUP(C222:C246,Table1[],2,0)</f>
        <v>analgesic</v>
      </c>
      <c r="E222" s="4" t="s">
        <v>45</v>
      </c>
      <c r="F222" s="4" t="str">
        <f>VLOOKUP(E221:E247,Table2[#All],2,0)</f>
        <v>PUNE</v>
      </c>
      <c r="G222" s="4">
        <v>23</v>
      </c>
      <c r="H222" s="5">
        <f>VLOOKUP(C:C,Table1[#All],3,0)</f>
        <v>800</v>
      </c>
      <c r="I222" s="5">
        <f t="shared" si="3"/>
        <v>18400</v>
      </c>
    </row>
    <row r="223" spans="2:9" x14ac:dyDescent="0.3">
      <c r="B223" s="3">
        <v>46257</v>
      </c>
      <c r="C223" s="4" t="s">
        <v>10</v>
      </c>
      <c r="D223" s="4" t="str">
        <f>VLOOKUP(C223:C247,Table1[],2,0)</f>
        <v>antacids</v>
      </c>
      <c r="E223" s="4" t="s">
        <v>64</v>
      </c>
      <c r="F223" s="4" t="str">
        <f>VLOOKUP(E222:E248,Table2[#All],2,0)</f>
        <v>NAGPUR</v>
      </c>
      <c r="G223" s="4">
        <v>26</v>
      </c>
      <c r="H223" s="5">
        <f>VLOOKUP(C:C,Table1[#All],3,0)</f>
        <v>1658</v>
      </c>
      <c r="I223" s="5">
        <f t="shared" si="3"/>
        <v>43108</v>
      </c>
    </row>
    <row r="224" spans="2:9" x14ac:dyDescent="0.3">
      <c r="B224" s="3">
        <v>46257</v>
      </c>
      <c r="C224" s="4" t="s">
        <v>19</v>
      </c>
      <c r="D224" s="4" t="str">
        <f>VLOOKUP(C224:C248,Table1[],2,0)</f>
        <v>antibiotic</v>
      </c>
      <c r="E224" s="4" t="s">
        <v>64</v>
      </c>
      <c r="F224" s="4" t="str">
        <f>VLOOKUP(E223:E249,Table2[#All],2,0)</f>
        <v>NAGPUR</v>
      </c>
      <c r="G224" s="4">
        <v>8</v>
      </c>
      <c r="H224" s="5">
        <f>VLOOKUP(C:C,Table1[#All],3,0)</f>
        <v>1560</v>
      </c>
      <c r="I224" s="5">
        <f t="shared" si="3"/>
        <v>12480</v>
      </c>
    </row>
    <row r="225" spans="2:9" x14ac:dyDescent="0.3">
      <c r="B225" s="3">
        <v>46257</v>
      </c>
      <c r="C225" s="4" t="s">
        <v>8</v>
      </c>
      <c r="D225" s="4" t="str">
        <f>VLOOKUP(C225:C249,Table1[],2,0)</f>
        <v>analgesic</v>
      </c>
      <c r="E225" s="4" t="s">
        <v>63</v>
      </c>
      <c r="F225" s="4" t="str">
        <f>VLOOKUP(E224:E250,Table2[#All],2,0)</f>
        <v>DELHI</v>
      </c>
      <c r="G225" s="4">
        <v>17</v>
      </c>
      <c r="H225" s="5">
        <f>VLOOKUP(C:C,Table1[#All],3,0)</f>
        <v>2100</v>
      </c>
      <c r="I225" s="5">
        <f t="shared" si="3"/>
        <v>35700</v>
      </c>
    </row>
    <row r="226" spans="2:9" x14ac:dyDescent="0.3">
      <c r="B226" s="3">
        <v>46257</v>
      </c>
      <c r="C226" s="4" t="s">
        <v>11</v>
      </c>
      <c r="D226" s="4" t="str">
        <f>VLOOKUP(C226:C250,Table1[],2,0)</f>
        <v>antacids</v>
      </c>
      <c r="E226" s="4" t="s">
        <v>63</v>
      </c>
      <c r="F226" s="4" t="str">
        <f>VLOOKUP(E225:E251,Table2[#All],2,0)</f>
        <v>DELHI</v>
      </c>
      <c r="G226" s="4">
        <v>5</v>
      </c>
      <c r="H226" s="5">
        <f>VLOOKUP(C:C,Table1[#All],3,0)</f>
        <v>3216</v>
      </c>
      <c r="I226" s="5">
        <f t="shared" si="3"/>
        <v>16080</v>
      </c>
    </row>
    <row r="227" spans="2:9" x14ac:dyDescent="0.3">
      <c r="B227" s="3">
        <v>46290</v>
      </c>
      <c r="C227" s="4" t="s">
        <v>12</v>
      </c>
      <c r="D227" s="4" t="str">
        <f>VLOOKUP(C227:C251,Table1[],2,0)</f>
        <v>antihistamines</v>
      </c>
      <c r="E227" s="4" t="s">
        <v>54</v>
      </c>
      <c r="F227" s="4" t="str">
        <f>VLOOKUP(E226:E252,Table2[#All],2,0)</f>
        <v>DELHI</v>
      </c>
      <c r="G227" s="4">
        <v>27</v>
      </c>
      <c r="H227" s="5">
        <f>VLOOKUP(C:C,Table1[#All],3,0)</f>
        <v>1400</v>
      </c>
      <c r="I227" s="5">
        <f t="shared" si="3"/>
        <v>37800</v>
      </c>
    </row>
    <row r="228" spans="2:9" x14ac:dyDescent="0.3">
      <c r="B228" s="3">
        <v>46290</v>
      </c>
      <c r="C228" s="4" t="s">
        <v>8</v>
      </c>
      <c r="D228" s="4" t="str">
        <f>VLOOKUP(C228:C252,Table1[],2,0)</f>
        <v>analgesic</v>
      </c>
      <c r="E228" s="4" t="s">
        <v>54</v>
      </c>
      <c r="F228" s="4" t="str">
        <f>VLOOKUP(E227:E253,Table2[#All],2,0)</f>
        <v>DELHI</v>
      </c>
      <c r="G228" s="4">
        <v>16</v>
      </c>
      <c r="H228" s="5">
        <f>VLOOKUP(C:C,Table1[#All],3,0)</f>
        <v>2100</v>
      </c>
      <c r="I228" s="5">
        <f t="shared" si="3"/>
        <v>33600</v>
      </c>
    </row>
    <row r="229" spans="2:9" x14ac:dyDescent="0.3">
      <c r="B229" s="3">
        <v>46290</v>
      </c>
      <c r="C229" s="4" t="s">
        <v>13</v>
      </c>
      <c r="D229" s="4" t="str">
        <f>VLOOKUP(C229:C253,Table1[],2,0)</f>
        <v>antipyretic</v>
      </c>
      <c r="E229" s="4" t="s">
        <v>54</v>
      </c>
      <c r="F229" s="4" t="str">
        <f>VLOOKUP(E228:E254,Table2[#All],2,0)</f>
        <v>DELHI</v>
      </c>
      <c r="G229" s="4">
        <v>18</v>
      </c>
      <c r="H229" s="5">
        <f>VLOOKUP(C:C,Table1[#All],3,0)</f>
        <v>5400</v>
      </c>
      <c r="I229" s="5">
        <f t="shared" si="3"/>
        <v>97200</v>
      </c>
    </row>
    <row r="230" spans="2:9" x14ac:dyDescent="0.3">
      <c r="B230" s="3">
        <v>46290</v>
      </c>
      <c r="C230" s="4" t="s">
        <v>13</v>
      </c>
      <c r="D230" s="4" t="str">
        <f>VLOOKUP(C230:C254,Table1[],2,0)</f>
        <v>antipyretic</v>
      </c>
      <c r="E230" s="4" t="s">
        <v>55</v>
      </c>
      <c r="F230" s="4" t="str">
        <f>VLOOKUP(E229:E255,Table2[#All],2,0)</f>
        <v>NAGPUR</v>
      </c>
      <c r="G230" s="4">
        <v>13</v>
      </c>
      <c r="H230" s="5">
        <f>VLOOKUP(C:C,Table1[#All],3,0)</f>
        <v>5400</v>
      </c>
      <c r="I230" s="5">
        <f t="shared" si="3"/>
        <v>70200</v>
      </c>
    </row>
    <row r="231" spans="2:9" x14ac:dyDescent="0.3">
      <c r="B231" s="3">
        <v>46290</v>
      </c>
      <c r="C231" s="4" t="s">
        <v>15</v>
      </c>
      <c r="D231" s="4" t="s">
        <v>40</v>
      </c>
      <c r="E231" s="4" t="s">
        <v>60</v>
      </c>
      <c r="F231" s="4" t="str">
        <f>VLOOKUP(E230:E256,Table2[#All],2,0)</f>
        <v>BANGLORE</v>
      </c>
      <c r="G231" s="4">
        <v>7</v>
      </c>
      <c r="H231" s="5">
        <v>300</v>
      </c>
      <c r="I231" s="5">
        <f t="shared" si="3"/>
        <v>2100</v>
      </c>
    </row>
    <row r="232" spans="2:9" x14ac:dyDescent="0.3">
      <c r="B232" s="3">
        <v>46290</v>
      </c>
      <c r="C232" s="4" t="s">
        <v>16</v>
      </c>
      <c r="D232" s="4" t="str">
        <f>VLOOKUP(C232:C256,Table1[],2,0)</f>
        <v>antibacterial</v>
      </c>
      <c r="E232" s="4" t="s">
        <v>60</v>
      </c>
      <c r="F232" s="4" t="str">
        <f>VLOOKUP(E231:E257,Table2[#All],2,0)</f>
        <v>BANGLORE</v>
      </c>
      <c r="G232" s="4">
        <v>6</v>
      </c>
      <c r="H232" s="5">
        <f>VLOOKUP(C:C,Table1[#All],3,0)</f>
        <v>1600</v>
      </c>
      <c r="I232" s="5">
        <f t="shared" si="3"/>
        <v>9600</v>
      </c>
    </row>
    <row r="233" spans="2:9" x14ac:dyDescent="0.3">
      <c r="B233" s="3">
        <v>46290</v>
      </c>
      <c r="C233" s="4" t="s">
        <v>15</v>
      </c>
      <c r="D233" s="4" t="s">
        <v>40</v>
      </c>
      <c r="E233" s="4" t="s">
        <v>60</v>
      </c>
      <c r="F233" s="4" t="str">
        <f>VLOOKUP(E232:E258,Table2[#All],2,0)</f>
        <v>BANGLORE</v>
      </c>
      <c r="G233" s="4">
        <v>15</v>
      </c>
      <c r="H233" s="5">
        <v>300</v>
      </c>
      <c r="I233" s="5">
        <f t="shared" si="3"/>
        <v>4500</v>
      </c>
    </row>
    <row r="234" spans="2:9" x14ac:dyDescent="0.3">
      <c r="B234" s="3">
        <v>46290</v>
      </c>
      <c r="C234" s="4" t="s">
        <v>17</v>
      </c>
      <c r="D234" s="4" t="str">
        <f>VLOOKUP(C234:C258,Table1[],2,0)</f>
        <v>antidiabetic</v>
      </c>
      <c r="E234" s="4" t="s">
        <v>48</v>
      </c>
      <c r="F234" s="4" t="str">
        <f>VLOOKUP(E233:E259,Table2[#All],2,0)</f>
        <v>CHENNAI</v>
      </c>
      <c r="G234" s="4">
        <v>20</v>
      </c>
      <c r="H234" s="5">
        <f>VLOOKUP(C:C,Table1[#All],3,0)</f>
        <v>1080</v>
      </c>
      <c r="I234" s="5">
        <f t="shared" si="3"/>
        <v>21600</v>
      </c>
    </row>
    <row r="235" spans="2:9" x14ac:dyDescent="0.3">
      <c r="B235" s="3">
        <v>46290</v>
      </c>
      <c r="C235" s="4" t="s">
        <v>8</v>
      </c>
      <c r="D235" s="4" t="str">
        <f>VLOOKUP(C235:C259,Table1[],2,0)</f>
        <v>analgesic</v>
      </c>
      <c r="E235" s="4" t="s">
        <v>48</v>
      </c>
      <c r="F235" s="4" t="str">
        <f>VLOOKUP(E234:E260,Table2[#All],2,0)</f>
        <v>CHENNAI</v>
      </c>
      <c r="G235" s="4">
        <v>10</v>
      </c>
      <c r="H235" s="5">
        <f>VLOOKUP(C:C,Table1[#All],3,0)</f>
        <v>2100</v>
      </c>
      <c r="I235" s="5">
        <f t="shared" si="3"/>
        <v>21000</v>
      </c>
    </row>
    <row r="236" spans="2:9" x14ac:dyDescent="0.3">
      <c r="B236" s="3">
        <v>46290</v>
      </c>
      <c r="C236" s="4" t="s">
        <v>17</v>
      </c>
      <c r="D236" s="4" t="str">
        <f>VLOOKUP(C236:C260,Table1[],2,0)</f>
        <v>antidiabetic</v>
      </c>
      <c r="E236" s="4" t="s">
        <v>56</v>
      </c>
      <c r="F236" s="4" t="str">
        <f>VLOOKUP(E235:E261,Table2[#All],2,0)</f>
        <v>PUNE</v>
      </c>
      <c r="G236" s="4">
        <v>1</v>
      </c>
      <c r="H236" s="5">
        <f>VLOOKUP(C:C,Table1[#All],3,0)</f>
        <v>1080</v>
      </c>
      <c r="I236" s="5">
        <f t="shared" si="3"/>
        <v>1080</v>
      </c>
    </row>
    <row r="237" spans="2:9" x14ac:dyDescent="0.3">
      <c r="B237" s="3">
        <v>46290</v>
      </c>
      <c r="C237" s="4" t="s">
        <v>18</v>
      </c>
      <c r="D237" s="4" t="s">
        <v>39</v>
      </c>
      <c r="E237" s="4" t="s">
        <v>56</v>
      </c>
      <c r="F237" s="4" t="str">
        <f>VLOOKUP(E236:E262,Table2[#All],2,0)</f>
        <v>PUNE</v>
      </c>
      <c r="G237" s="4">
        <v>15</v>
      </c>
      <c r="H237" s="5">
        <v>33200</v>
      </c>
      <c r="I237" s="5">
        <f t="shared" si="3"/>
        <v>498000</v>
      </c>
    </row>
    <row r="238" spans="2:9" x14ac:dyDescent="0.3">
      <c r="B238" s="3">
        <v>46290</v>
      </c>
      <c r="C238" s="4" t="s">
        <v>8</v>
      </c>
      <c r="D238" s="4" t="str">
        <f>VLOOKUP(C238:C262,Table1[],2,0)</f>
        <v>analgesic</v>
      </c>
      <c r="E238" s="4" t="s">
        <v>55</v>
      </c>
      <c r="F238" s="4" t="str">
        <f>VLOOKUP(E237:E263,Table2[#All],2,0)</f>
        <v>NAGPUR</v>
      </c>
      <c r="G238" s="4">
        <v>8</v>
      </c>
      <c r="H238" s="5">
        <f>VLOOKUP(C:C,Table1[#All],3,0)</f>
        <v>2100</v>
      </c>
      <c r="I238" s="5">
        <f t="shared" si="3"/>
        <v>16800</v>
      </c>
    </row>
    <row r="239" spans="2:9" x14ac:dyDescent="0.3">
      <c r="B239" s="3">
        <v>46290</v>
      </c>
      <c r="C239" s="4" t="s">
        <v>16</v>
      </c>
      <c r="D239" s="4" t="str">
        <f>VLOOKUP(C239:C263,Table1[],2,0)</f>
        <v>antibacterial</v>
      </c>
      <c r="E239" s="4" t="s">
        <v>55</v>
      </c>
      <c r="F239" s="4" t="str">
        <f>VLOOKUP(E238:E264,Table2[#All],2,0)</f>
        <v>NAGPUR</v>
      </c>
      <c r="G239" s="4">
        <v>4</v>
      </c>
      <c r="H239" s="5">
        <f>VLOOKUP(C:C,Table1[#All],3,0)</f>
        <v>1600</v>
      </c>
      <c r="I239" s="5">
        <f t="shared" si="3"/>
        <v>6400</v>
      </c>
    </row>
    <row r="240" spans="2:9" x14ac:dyDescent="0.3">
      <c r="B240" s="3">
        <v>46290</v>
      </c>
      <c r="C240" s="4" t="s">
        <v>13</v>
      </c>
      <c r="D240" s="4" t="str">
        <f>VLOOKUP(C240:C264,Table1[],2,0)</f>
        <v>antipyretic</v>
      </c>
      <c r="E240" s="4" t="s">
        <v>45</v>
      </c>
      <c r="F240" s="4" t="str">
        <f>VLOOKUP(E239:E265,Table2[#All],2,0)</f>
        <v>PUNE</v>
      </c>
      <c r="G240" s="4">
        <v>16</v>
      </c>
      <c r="H240" s="5">
        <f>VLOOKUP(C:C,Table1[#All],3,0)</f>
        <v>5400</v>
      </c>
      <c r="I240" s="5">
        <f t="shared" si="3"/>
        <v>86400</v>
      </c>
    </row>
    <row r="241" spans="2:9" x14ac:dyDescent="0.3">
      <c r="B241" s="3">
        <v>46290</v>
      </c>
      <c r="C241" s="4" t="s">
        <v>16</v>
      </c>
      <c r="D241" s="4" t="str">
        <f>VLOOKUP(C241:C265,Table1[],2,0)</f>
        <v>antibacterial</v>
      </c>
      <c r="E241" s="4" t="s">
        <v>46</v>
      </c>
      <c r="F241" s="4" t="str">
        <f>VLOOKUP(E240:E266,Table2[#All],2,0)</f>
        <v>HYDERABAD</v>
      </c>
      <c r="G241" s="4">
        <v>23</v>
      </c>
      <c r="H241" s="5">
        <f>VLOOKUP(C:C,Table1[#All],3,0)</f>
        <v>1600</v>
      </c>
      <c r="I241" s="5">
        <f t="shared" si="3"/>
        <v>36800</v>
      </c>
    </row>
    <row r="242" spans="2:9" x14ac:dyDescent="0.3">
      <c r="B242" s="3">
        <v>46290</v>
      </c>
      <c r="C242" s="4" t="s">
        <v>12</v>
      </c>
      <c r="D242" s="4" t="str">
        <f>VLOOKUP(C242:C266,Table1[],2,0)</f>
        <v>antihistamines</v>
      </c>
      <c r="E242" s="4" t="s">
        <v>46</v>
      </c>
      <c r="F242" s="4" t="str">
        <f>VLOOKUP(E241:E267,Table2[#All],2,0)</f>
        <v>HYDERABAD</v>
      </c>
      <c r="G242" s="4">
        <v>30</v>
      </c>
      <c r="H242" s="5">
        <f>VLOOKUP(C:C,Table1[#All],3,0)</f>
        <v>1400</v>
      </c>
      <c r="I242" s="5">
        <f t="shared" si="3"/>
        <v>42000</v>
      </c>
    </row>
    <row r="243" spans="2:9" x14ac:dyDescent="0.3">
      <c r="B243" s="3">
        <v>46290</v>
      </c>
      <c r="C243" s="4" t="s">
        <v>14</v>
      </c>
      <c r="D243" s="4" t="str">
        <f>VLOOKUP(C243:C267,Table1[],2,0)</f>
        <v>vitamins</v>
      </c>
      <c r="E243" s="4" t="s">
        <v>47</v>
      </c>
      <c r="F243" s="4" t="str">
        <f>VLOOKUP(E242:E268,Table2[#All],2,0)</f>
        <v>MUMBAI</v>
      </c>
      <c r="G243" s="4">
        <v>9</v>
      </c>
      <c r="H243" s="5">
        <f>VLOOKUP(C:C,Table1[#All],3,0)</f>
        <v>425</v>
      </c>
      <c r="I243" s="5">
        <f t="shared" si="3"/>
        <v>3825</v>
      </c>
    </row>
    <row r="244" spans="2:9" x14ac:dyDescent="0.3">
      <c r="B244" s="3">
        <v>46290</v>
      </c>
      <c r="C244" s="4" t="s">
        <v>18</v>
      </c>
      <c r="D244" s="4" t="s">
        <v>39</v>
      </c>
      <c r="E244" s="4" t="s">
        <v>47</v>
      </c>
      <c r="F244" s="4" t="str">
        <f>VLOOKUP(E243:E269,Table2[#All],2,0)</f>
        <v>MUMBAI</v>
      </c>
      <c r="G244" s="4">
        <v>16</v>
      </c>
      <c r="H244" s="5">
        <v>3200</v>
      </c>
      <c r="I244" s="5">
        <f t="shared" si="3"/>
        <v>51200</v>
      </c>
    </row>
    <row r="245" spans="2:9" x14ac:dyDescent="0.3">
      <c r="B245" s="3">
        <v>46290</v>
      </c>
      <c r="C245" s="4" t="s">
        <v>19</v>
      </c>
      <c r="D245" s="4" t="str">
        <f>VLOOKUP(C245:C269,Table1[],2,0)</f>
        <v>antibiotic</v>
      </c>
      <c r="E245" s="4" t="s">
        <v>57</v>
      </c>
      <c r="F245" s="4" t="str">
        <f>VLOOKUP(E244:E270,Table2[#All],2,0)</f>
        <v>MUMBAI</v>
      </c>
      <c r="G245" s="4">
        <v>14</v>
      </c>
      <c r="H245" s="5">
        <f>VLOOKUP(C:C,Table1[#All],3,0)</f>
        <v>1560</v>
      </c>
      <c r="I245" s="5">
        <f t="shared" si="3"/>
        <v>21840</v>
      </c>
    </row>
    <row r="246" spans="2:9" x14ac:dyDescent="0.3">
      <c r="B246" s="3">
        <v>46290</v>
      </c>
      <c r="C246" s="4" t="s">
        <v>20</v>
      </c>
      <c r="D246" s="4" t="str">
        <f>VLOOKUP(C246:C270,Table1[],2,0)</f>
        <v>analgesic</v>
      </c>
      <c r="E246" s="4" t="s">
        <v>62</v>
      </c>
      <c r="F246" s="4" t="str">
        <f>VLOOKUP(E245:E271,Table2[#All],2,0)</f>
        <v>CHENNAI</v>
      </c>
      <c r="G246" s="4">
        <v>2</v>
      </c>
      <c r="H246" s="5">
        <f>VLOOKUP(C:C,Table1[#All],3,0)</f>
        <v>800</v>
      </c>
      <c r="I246" s="5">
        <f t="shared" si="3"/>
        <v>1600</v>
      </c>
    </row>
    <row r="247" spans="2:9" x14ac:dyDescent="0.3">
      <c r="B247" s="3">
        <v>46290</v>
      </c>
      <c r="C247" s="4" t="s">
        <v>20</v>
      </c>
      <c r="D247" s="4" t="str">
        <f>VLOOKUP(C247:C271,Table1[],2,0)</f>
        <v>analgesic</v>
      </c>
      <c r="E247" s="4" t="s">
        <v>62</v>
      </c>
      <c r="F247" s="4" t="str">
        <f>VLOOKUP(E246:E272,Table2[#All],2,0)</f>
        <v>CHENNAI</v>
      </c>
      <c r="G247" s="4">
        <v>13</v>
      </c>
      <c r="H247" s="5">
        <f>VLOOKUP(C:C,Table1[#All],3,0)</f>
        <v>800</v>
      </c>
      <c r="I247" s="5">
        <f t="shared" si="3"/>
        <v>10400</v>
      </c>
    </row>
    <row r="248" spans="2:9" x14ac:dyDescent="0.3">
      <c r="B248" s="3">
        <v>46290</v>
      </c>
      <c r="C248" s="4" t="s">
        <v>10</v>
      </c>
      <c r="D248" s="4" t="str">
        <f>VLOOKUP(C248:C272,Table1[],2,0)</f>
        <v>antacids</v>
      </c>
      <c r="E248" s="4" t="s">
        <v>62</v>
      </c>
      <c r="F248" s="4" t="str">
        <f>VLOOKUP(E247:E273,Table2[#All],2,0)</f>
        <v>CHENNAI</v>
      </c>
      <c r="G248" s="4">
        <v>28</v>
      </c>
      <c r="H248" s="5">
        <f>VLOOKUP(C:C,Table1[#All],3,0)</f>
        <v>1658</v>
      </c>
      <c r="I248" s="5">
        <f t="shared" si="3"/>
        <v>46424</v>
      </c>
    </row>
    <row r="249" spans="2:9" x14ac:dyDescent="0.3">
      <c r="B249" s="3">
        <v>46290</v>
      </c>
      <c r="C249" s="4" t="s">
        <v>19</v>
      </c>
      <c r="D249" s="4" t="str">
        <f>VLOOKUP(C249:C273,Table1[],2,0)</f>
        <v>antibiotic</v>
      </c>
      <c r="E249" s="4" t="s">
        <v>57</v>
      </c>
      <c r="F249" s="4" t="str">
        <f>VLOOKUP(E248:E274,Table2[#All],2,0)</f>
        <v>MUMBAI</v>
      </c>
      <c r="G249" s="4">
        <v>15</v>
      </c>
      <c r="H249" s="5">
        <f>VLOOKUP(C:C,Table1[#All],3,0)</f>
        <v>1560</v>
      </c>
      <c r="I249" s="5">
        <f t="shared" si="3"/>
        <v>23400</v>
      </c>
    </row>
    <row r="250" spans="2:9" x14ac:dyDescent="0.3">
      <c r="B250" s="3">
        <v>46290</v>
      </c>
      <c r="C250" s="4" t="s">
        <v>20</v>
      </c>
      <c r="D250" s="4" t="str">
        <f>VLOOKUP(C250:C274,Table1[],2,0)</f>
        <v>analgesic</v>
      </c>
      <c r="E250" s="4" t="s">
        <v>57</v>
      </c>
      <c r="F250" s="4" t="str">
        <f>VLOOKUP(E249:E275,Table2[#All],2,0)</f>
        <v>MUMBAI</v>
      </c>
      <c r="G250" s="4">
        <v>40</v>
      </c>
      <c r="H250" s="5">
        <f>VLOOKUP(C:C,Table1[#All],3,0)</f>
        <v>800</v>
      </c>
      <c r="I250" s="5">
        <f t="shared" si="3"/>
        <v>32000</v>
      </c>
    </row>
    <row r="251" spans="2:9" x14ac:dyDescent="0.3">
      <c r="B251" s="3">
        <v>46307</v>
      </c>
      <c r="C251" s="4" t="s">
        <v>8</v>
      </c>
      <c r="D251" s="4" t="str">
        <f>VLOOKUP(C251:C275,Table1[],2,0)</f>
        <v>analgesic</v>
      </c>
      <c r="E251" s="4" t="s">
        <v>45</v>
      </c>
      <c r="F251" s="4" t="str">
        <f>VLOOKUP(E250:E276,Table2[#All],2,0)</f>
        <v>PUNE</v>
      </c>
      <c r="G251" s="4">
        <v>10</v>
      </c>
      <c r="H251" s="5">
        <f>VLOOKUP(C:C,Table1[#All],3,0)</f>
        <v>2100</v>
      </c>
      <c r="I251" s="5">
        <f t="shared" si="3"/>
        <v>21000</v>
      </c>
    </row>
    <row r="252" spans="2:9" x14ac:dyDescent="0.3">
      <c r="B252" s="3">
        <v>46307</v>
      </c>
      <c r="C252" s="4" t="s">
        <v>12</v>
      </c>
      <c r="D252" s="4" t="str">
        <f>VLOOKUP(C252:C276,Table1[],2,0)</f>
        <v>antihistamines</v>
      </c>
      <c r="E252" s="4" t="s">
        <v>45</v>
      </c>
      <c r="F252" s="4" t="str">
        <f>VLOOKUP(E251:E277,Table2[#All],2,0)</f>
        <v>PUNE</v>
      </c>
      <c r="G252" s="4">
        <v>12</v>
      </c>
      <c r="H252" s="5">
        <f>VLOOKUP(C:C,Table1[#All],3,0)</f>
        <v>1400</v>
      </c>
      <c r="I252" s="5">
        <f t="shared" si="3"/>
        <v>16800</v>
      </c>
    </row>
    <row r="253" spans="2:9" x14ac:dyDescent="0.3">
      <c r="B253" s="3">
        <v>46307</v>
      </c>
      <c r="C253" s="4" t="s">
        <v>68</v>
      </c>
      <c r="D253" s="4" t="s">
        <v>39</v>
      </c>
      <c r="E253" s="4" t="s">
        <v>47</v>
      </c>
      <c r="F253" s="4" t="str">
        <f>VLOOKUP(E252:E278,Table2[#All],2,0)</f>
        <v>MUMBAI</v>
      </c>
      <c r="G253" s="4">
        <v>14</v>
      </c>
      <c r="H253" s="5">
        <v>3200</v>
      </c>
      <c r="I253" s="5">
        <f t="shared" si="3"/>
        <v>44800</v>
      </c>
    </row>
    <row r="254" spans="2:9" x14ac:dyDescent="0.3">
      <c r="B254" s="3">
        <v>46307</v>
      </c>
      <c r="C254" s="4" t="s">
        <v>9</v>
      </c>
      <c r="D254" s="4" t="str">
        <f>VLOOKUP(C254:C278,Table1[],2,0)</f>
        <v>antibiotic</v>
      </c>
      <c r="E254" s="4" t="s">
        <v>47</v>
      </c>
      <c r="F254" s="4" t="str">
        <f>VLOOKUP(E253:E279,Table2[#All],2,0)</f>
        <v>MUMBAI</v>
      </c>
      <c r="G254" s="4">
        <v>5</v>
      </c>
      <c r="H254" s="5">
        <f>VLOOKUP(C:C,Table1[#All],3,0)</f>
        <v>400</v>
      </c>
      <c r="I254" s="5">
        <f t="shared" si="3"/>
        <v>2000</v>
      </c>
    </row>
    <row r="255" spans="2:9" x14ac:dyDescent="0.3">
      <c r="B255" s="3">
        <v>46307</v>
      </c>
      <c r="C255" s="4" t="s">
        <v>20</v>
      </c>
      <c r="D255" s="4" t="str">
        <f>VLOOKUP(C255:C279,Table1[],2,0)</f>
        <v>analgesic</v>
      </c>
      <c r="E255" s="4" t="s">
        <v>64</v>
      </c>
      <c r="F255" s="4" t="str">
        <f>VLOOKUP(E254:E280,Table2[#All],2,0)</f>
        <v>NAGPUR</v>
      </c>
      <c r="G255" s="4">
        <v>6</v>
      </c>
      <c r="H255" s="5">
        <f>VLOOKUP(C:C,Table1[#All],3,0)</f>
        <v>800</v>
      </c>
      <c r="I255" s="5">
        <f t="shared" si="3"/>
        <v>4800</v>
      </c>
    </row>
    <row r="256" spans="2:9" x14ac:dyDescent="0.3">
      <c r="B256" s="3">
        <v>46307</v>
      </c>
      <c r="C256" s="4" t="s">
        <v>16</v>
      </c>
      <c r="D256" s="4" t="str">
        <f>VLOOKUP(C256:C280,Table1[],2,0)</f>
        <v>antibacterial</v>
      </c>
      <c r="E256" s="4" t="s">
        <v>64</v>
      </c>
      <c r="F256" s="4" t="str">
        <f>VLOOKUP(E255:E281,Table2[#All],2,0)</f>
        <v>NAGPUR</v>
      </c>
      <c r="G256" s="4">
        <v>25</v>
      </c>
      <c r="H256" s="5">
        <f>VLOOKUP(C:C,Table1[#All],3,0)</f>
        <v>1600</v>
      </c>
      <c r="I256" s="5">
        <f t="shared" si="3"/>
        <v>40000</v>
      </c>
    </row>
    <row r="257" spans="2:9" x14ac:dyDescent="0.3">
      <c r="B257" s="3">
        <v>46307</v>
      </c>
      <c r="C257" s="4" t="s">
        <v>17</v>
      </c>
      <c r="D257" s="4" t="str">
        <f>VLOOKUP(C257:C281,Table1[],2,0)</f>
        <v>antidiabetic</v>
      </c>
      <c r="E257" s="4" t="s">
        <v>64</v>
      </c>
      <c r="F257" s="4" t="str">
        <f>VLOOKUP(E256:E282,Table2[#All],2,0)</f>
        <v>NAGPUR</v>
      </c>
      <c r="G257" s="4">
        <v>30</v>
      </c>
      <c r="H257" s="5">
        <f>VLOOKUP(C:C,Table1[#All],3,0)</f>
        <v>1080</v>
      </c>
      <c r="I257" s="5">
        <f t="shared" si="3"/>
        <v>32400</v>
      </c>
    </row>
    <row r="258" spans="2:9" x14ac:dyDescent="0.3">
      <c r="B258" s="3">
        <v>46307</v>
      </c>
      <c r="C258" s="4" t="s">
        <v>15</v>
      </c>
      <c r="D258" s="4" t="s">
        <v>40</v>
      </c>
      <c r="E258" s="4" t="s">
        <v>55</v>
      </c>
      <c r="F258" s="4" t="str">
        <f>VLOOKUP(E257:E283,Table2[#All],2,0)</f>
        <v>NAGPUR</v>
      </c>
      <c r="G258" s="4">
        <v>4</v>
      </c>
      <c r="H258" s="5">
        <v>300</v>
      </c>
      <c r="I258" s="5">
        <f t="shared" si="3"/>
        <v>1200</v>
      </c>
    </row>
    <row r="259" spans="2:9" x14ac:dyDescent="0.3">
      <c r="B259" s="3">
        <v>46307</v>
      </c>
      <c r="C259" s="4" t="s">
        <v>16</v>
      </c>
      <c r="D259" s="4" t="str">
        <f>VLOOKUP(C:C,Table1[#All],2,0)</f>
        <v>antibacterial</v>
      </c>
      <c r="E259" s="4" t="s">
        <v>56</v>
      </c>
      <c r="F259" s="4" t="str">
        <f>VLOOKUP(E258:E284,Table2[#All],2,0)</f>
        <v>PUNE</v>
      </c>
      <c r="G259" s="4">
        <v>8</v>
      </c>
      <c r="H259" s="5">
        <f>VLOOKUP(C:C,Table1[#All],3,0)</f>
        <v>1600</v>
      </c>
      <c r="I259" s="5">
        <f t="shared" ref="I259:I322" si="4">G:G*H:H</f>
        <v>12800</v>
      </c>
    </row>
    <row r="260" spans="2:9" x14ac:dyDescent="0.3">
      <c r="B260" s="3">
        <v>46307</v>
      </c>
      <c r="C260" s="4" t="s">
        <v>13</v>
      </c>
      <c r="D260" s="4" t="str">
        <f>VLOOKUP(C:C,Table1[#All],2,0)</f>
        <v>antipyretic</v>
      </c>
      <c r="E260" s="4" t="s">
        <v>54</v>
      </c>
      <c r="F260" s="4" t="str">
        <f>VLOOKUP(E259:E285,Table2[#All],2,0)</f>
        <v>DELHI</v>
      </c>
      <c r="G260" s="4">
        <v>15</v>
      </c>
      <c r="H260" s="5">
        <f>VLOOKUP(C:C,Table1[#All],3,0)</f>
        <v>5400</v>
      </c>
      <c r="I260" s="5">
        <f t="shared" si="4"/>
        <v>81000</v>
      </c>
    </row>
    <row r="261" spans="2:9" x14ac:dyDescent="0.3">
      <c r="B261" s="3">
        <v>46307</v>
      </c>
      <c r="C261" s="4" t="s">
        <v>16</v>
      </c>
      <c r="D261" s="4" t="str">
        <f>VLOOKUP(C:C,Table1[#All],2,0)</f>
        <v>antibacterial</v>
      </c>
      <c r="E261" s="4" t="s">
        <v>60</v>
      </c>
      <c r="F261" s="4" t="str">
        <f>VLOOKUP(E260:E286,Table2[#All],2,0)</f>
        <v>BANGLORE</v>
      </c>
      <c r="G261" s="4">
        <v>14</v>
      </c>
      <c r="H261" s="5">
        <f>VLOOKUP(C:C,Table1[#All],3,0)</f>
        <v>1600</v>
      </c>
      <c r="I261" s="5">
        <f t="shared" si="4"/>
        <v>22400</v>
      </c>
    </row>
    <row r="262" spans="2:9" x14ac:dyDescent="0.3">
      <c r="B262" s="3">
        <v>46307</v>
      </c>
      <c r="C262" s="4" t="s">
        <v>12</v>
      </c>
      <c r="D262" s="4" t="str">
        <f>VLOOKUP(C:C,Table1[#All],2,0)</f>
        <v>antihistamines</v>
      </c>
      <c r="E262" s="4" t="s">
        <v>60</v>
      </c>
      <c r="F262" s="4" t="str">
        <f>VLOOKUP(E261:E287,Table2[#All],2,0)</f>
        <v>BANGLORE</v>
      </c>
      <c r="G262" s="4">
        <v>5</v>
      </c>
      <c r="H262" s="5">
        <f>VLOOKUP(C:C,Table1[#All],3,0)</f>
        <v>1400</v>
      </c>
      <c r="I262" s="5">
        <f t="shared" si="4"/>
        <v>7000</v>
      </c>
    </row>
    <row r="263" spans="2:9" x14ac:dyDescent="0.3">
      <c r="B263" s="3">
        <v>46307</v>
      </c>
      <c r="C263" s="4" t="s">
        <v>14</v>
      </c>
      <c r="D263" s="4" t="str">
        <f>VLOOKUP(C:C,Table1[#All],2,0)</f>
        <v>vitamins</v>
      </c>
      <c r="E263" s="4" t="s">
        <v>47</v>
      </c>
      <c r="F263" s="4" t="str">
        <f>VLOOKUP(E262:E288,Table2[#All],2,0)</f>
        <v>MUMBAI</v>
      </c>
      <c r="G263" s="4">
        <v>12</v>
      </c>
      <c r="H263" s="5">
        <f>VLOOKUP(C:C,Table1[#All],3,0)</f>
        <v>425</v>
      </c>
      <c r="I263" s="5">
        <f t="shared" si="4"/>
        <v>5100</v>
      </c>
    </row>
    <row r="264" spans="2:9" x14ac:dyDescent="0.3">
      <c r="B264" s="3">
        <v>46307</v>
      </c>
      <c r="C264" s="4" t="s">
        <v>18</v>
      </c>
      <c r="D264" s="4" t="s">
        <v>39</v>
      </c>
      <c r="E264" s="4" t="s">
        <v>47</v>
      </c>
      <c r="F264" s="4" t="str">
        <f>VLOOKUP(E263:E289,Table2[#All],2,0)</f>
        <v>MUMBAI</v>
      </c>
      <c r="G264" s="4">
        <v>30</v>
      </c>
      <c r="H264" s="5">
        <v>3200</v>
      </c>
      <c r="I264" s="5">
        <f t="shared" si="4"/>
        <v>96000</v>
      </c>
    </row>
    <row r="265" spans="2:9" x14ac:dyDescent="0.3">
      <c r="B265" s="3">
        <v>46307</v>
      </c>
      <c r="C265" s="4" t="s">
        <v>19</v>
      </c>
      <c r="D265" s="4" t="str">
        <f>VLOOKUP(C:C,Table1[#All],2,0)</f>
        <v>antibiotic</v>
      </c>
      <c r="E265" s="4" t="s">
        <v>45</v>
      </c>
      <c r="F265" s="4" t="str">
        <f>VLOOKUP(E264:E290,Table2[#All],2,0)</f>
        <v>PUNE</v>
      </c>
      <c r="G265" s="4">
        <v>6</v>
      </c>
      <c r="H265" s="5">
        <f>VLOOKUP(C:C,Table1[#All],3,0)</f>
        <v>1560</v>
      </c>
      <c r="I265" s="5">
        <f t="shared" si="4"/>
        <v>9360</v>
      </c>
    </row>
    <row r="266" spans="2:9" x14ac:dyDescent="0.3">
      <c r="B266" s="3">
        <v>46307</v>
      </c>
      <c r="C266" s="4" t="s">
        <v>20</v>
      </c>
      <c r="D266" s="4" t="str">
        <f>VLOOKUP(C:C,Table1[#All],2,0)</f>
        <v>analgesic</v>
      </c>
      <c r="E266" s="4" t="s">
        <v>57</v>
      </c>
      <c r="F266" s="4" t="str">
        <f>VLOOKUP(E265:E291,Table2[#All],2,0)</f>
        <v>MUMBAI</v>
      </c>
      <c r="G266" s="4">
        <v>2</v>
      </c>
      <c r="H266" s="5">
        <f>VLOOKUP(C:C,Table1[#All],3,0)</f>
        <v>800</v>
      </c>
      <c r="I266" s="5">
        <f t="shared" si="4"/>
        <v>1600</v>
      </c>
    </row>
    <row r="267" spans="2:9" x14ac:dyDescent="0.3">
      <c r="B267" s="3">
        <v>46307</v>
      </c>
      <c r="C267" s="4" t="s">
        <v>20</v>
      </c>
      <c r="D267" s="4" t="str">
        <f>VLOOKUP(C:C,Table1[#All],2,0)</f>
        <v>analgesic</v>
      </c>
      <c r="E267" s="4" t="s">
        <v>57</v>
      </c>
      <c r="F267" s="4" t="str">
        <f>VLOOKUP(E266:E292,Table2[#All],2,0)</f>
        <v>MUMBAI</v>
      </c>
      <c r="G267" s="4">
        <v>32</v>
      </c>
      <c r="H267" s="5">
        <f>VLOOKUP(C:C,Table1[#All],3,0)</f>
        <v>800</v>
      </c>
      <c r="I267" s="5">
        <f t="shared" si="4"/>
        <v>25600</v>
      </c>
    </row>
    <row r="268" spans="2:9" x14ac:dyDescent="0.3">
      <c r="B268" s="3">
        <v>46307</v>
      </c>
      <c r="C268" s="4" t="s">
        <v>10</v>
      </c>
      <c r="D268" s="4" t="str">
        <f>VLOOKUP(C:C,Table1[#All],2,0)</f>
        <v>antacids</v>
      </c>
      <c r="E268" s="4" t="s">
        <v>56</v>
      </c>
      <c r="F268" s="4" t="str">
        <f>VLOOKUP(E267:E293,Table2[#All],2,0)</f>
        <v>PUNE</v>
      </c>
      <c r="G268" s="4">
        <v>20</v>
      </c>
      <c r="H268" s="5">
        <f>VLOOKUP(C:C,Table1[#All],3,0)</f>
        <v>1658</v>
      </c>
      <c r="I268" s="5">
        <f t="shared" si="4"/>
        <v>33160</v>
      </c>
    </row>
    <row r="269" spans="2:9" x14ac:dyDescent="0.3">
      <c r="B269" s="3">
        <v>46307</v>
      </c>
      <c r="C269" s="4" t="s">
        <v>19</v>
      </c>
      <c r="D269" s="4" t="str">
        <f>VLOOKUP(C:C,Table1[#All],2,0)</f>
        <v>antibiotic</v>
      </c>
      <c r="E269" s="4" t="s">
        <v>56</v>
      </c>
      <c r="F269" s="4" t="str">
        <f>VLOOKUP(E268:E294,Table2[#All],2,0)</f>
        <v>PUNE</v>
      </c>
      <c r="G269" s="4">
        <v>4</v>
      </c>
      <c r="H269" s="5">
        <f>VLOOKUP(C:C,Table1[#All],3,0)</f>
        <v>1560</v>
      </c>
      <c r="I269" s="5">
        <f t="shared" si="4"/>
        <v>6240</v>
      </c>
    </row>
    <row r="270" spans="2:9" x14ac:dyDescent="0.3">
      <c r="B270" s="3">
        <v>46307</v>
      </c>
      <c r="C270" s="4" t="s">
        <v>20</v>
      </c>
      <c r="D270" s="4" t="str">
        <f>VLOOKUP(C:C,Table1[#All],2,0)</f>
        <v>analgesic</v>
      </c>
      <c r="E270" s="4" t="s">
        <v>56</v>
      </c>
      <c r="F270" s="4" t="str">
        <f>VLOOKUP(E269:E295,Table2[#All],2,0)</f>
        <v>PUNE</v>
      </c>
      <c r="G270" s="4">
        <v>16</v>
      </c>
      <c r="H270" s="5">
        <f>VLOOKUP(C:C,Table1[#All],3,0)</f>
        <v>800</v>
      </c>
      <c r="I270" s="5">
        <f t="shared" si="4"/>
        <v>12800</v>
      </c>
    </row>
    <row r="271" spans="2:9" x14ac:dyDescent="0.3">
      <c r="B271" s="3">
        <v>46307</v>
      </c>
      <c r="C271" s="4" t="s">
        <v>10</v>
      </c>
      <c r="D271" s="4" t="str">
        <f>VLOOKUP(C:C,Table1[#All],2,0)</f>
        <v>antacids</v>
      </c>
      <c r="E271" s="4" t="s">
        <v>48</v>
      </c>
      <c r="F271" s="4" t="str">
        <f>VLOOKUP(E270:E296,Table2[#All],2,0)</f>
        <v>CHENNAI</v>
      </c>
      <c r="G271" s="4">
        <v>18</v>
      </c>
      <c r="H271" s="5">
        <f>VLOOKUP(C:C,Table1[#All],3,0)</f>
        <v>1658</v>
      </c>
      <c r="I271" s="5">
        <f t="shared" si="4"/>
        <v>29844</v>
      </c>
    </row>
    <row r="272" spans="2:9" x14ac:dyDescent="0.3">
      <c r="B272" s="3">
        <v>46307</v>
      </c>
      <c r="C272" s="4" t="s">
        <v>19</v>
      </c>
      <c r="D272" s="4" t="str">
        <f>VLOOKUP(C:C,Table1[#All],2,0)</f>
        <v>antibiotic</v>
      </c>
      <c r="E272" s="4" t="s">
        <v>48</v>
      </c>
      <c r="F272" s="4" t="str">
        <f>VLOOKUP(E271:E297,Table2[#All],2,0)</f>
        <v>CHENNAI</v>
      </c>
      <c r="G272" s="4">
        <v>9</v>
      </c>
      <c r="H272" s="5">
        <f>VLOOKUP(C:C,Table1[#All],3,0)</f>
        <v>1560</v>
      </c>
      <c r="I272" s="5">
        <f t="shared" si="4"/>
        <v>14040</v>
      </c>
    </row>
    <row r="273" spans="2:9" x14ac:dyDescent="0.3">
      <c r="B273" s="3">
        <v>46307</v>
      </c>
      <c r="C273" s="4" t="s">
        <v>8</v>
      </c>
      <c r="D273" s="4" t="str">
        <f>VLOOKUP(C:C,Table1[#All],2,0)</f>
        <v>analgesic</v>
      </c>
      <c r="E273" s="4" t="s">
        <v>54</v>
      </c>
      <c r="F273" s="4" t="str">
        <f>VLOOKUP(E272:E298,Table2[#All],2,0)</f>
        <v>DELHI</v>
      </c>
      <c r="G273" s="4">
        <v>50</v>
      </c>
      <c r="H273" s="5">
        <f>VLOOKUP(C:C,Table1[#All],3,0)</f>
        <v>2100</v>
      </c>
      <c r="I273" s="5">
        <f t="shared" si="4"/>
        <v>105000</v>
      </c>
    </row>
    <row r="274" spans="2:9" x14ac:dyDescent="0.3">
      <c r="B274" s="3">
        <v>46307</v>
      </c>
      <c r="C274" s="4" t="s">
        <v>8</v>
      </c>
      <c r="D274" s="4" t="str">
        <f>VLOOKUP(C:C,Table1[#All],2,0)</f>
        <v>analgesic</v>
      </c>
      <c r="E274" s="4" t="s">
        <v>47</v>
      </c>
      <c r="F274" s="4" t="str">
        <f>VLOOKUP(E273:E299,Table2[#All],2,0)</f>
        <v>MUMBAI</v>
      </c>
      <c r="G274" s="4">
        <v>23</v>
      </c>
      <c r="H274" s="5">
        <f>VLOOKUP(C:C,Table1[#All],3,0)</f>
        <v>2100</v>
      </c>
      <c r="I274" s="5">
        <f t="shared" si="4"/>
        <v>48300</v>
      </c>
    </row>
    <row r="275" spans="2:9" x14ac:dyDescent="0.3">
      <c r="B275" s="3">
        <v>46307</v>
      </c>
      <c r="C275" s="4" t="s">
        <v>13</v>
      </c>
      <c r="D275" s="4" t="str">
        <f>VLOOKUP(C:C,Table1[#All],2,0)</f>
        <v>antipyretic</v>
      </c>
      <c r="E275" s="4" t="s">
        <v>47</v>
      </c>
      <c r="F275" s="4" t="str">
        <f>VLOOKUP(E274:E300,Table2[#All],2,0)</f>
        <v>MUMBAI</v>
      </c>
      <c r="G275" s="4">
        <v>14</v>
      </c>
      <c r="H275" s="5">
        <f>VLOOKUP(C:C,Table1[#All],3,0)</f>
        <v>5400</v>
      </c>
      <c r="I275" s="5">
        <f t="shared" si="4"/>
        <v>75600</v>
      </c>
    </row>
    <row r="276" spans="2:9" x14ac:dyDescent="0.3">
      <c r="B276" s="3">
        <v>46307</v>
      </c>
      <c r="C276" s="4" t="s">
        <v>20</v>
      </c>
      <c r="D276" s="4" t="str">
        <f>VLOOKUP(C:C,Table1[#All],2,0)</f>
        <v>analgesic</v>
      </c>
      <c r="E276" s="4" t="s">
        <v>47</v>
      </c>
      <c r="F276" s="4" t="str">
        <f>VLOOKUP(E275:E301,Table2[#All],2,0)</f>
        <v>MUMBAI</v>
      </c>
      <c r="G276" s="4">
        <v>25</v>
      </c>
      <c r="H276" s="5">
        <f>VLOOKUP(C:C,Table1[#All],3,0)</f>
        <v>800</v>
      </c>
      <c r="I276" s="5">
        <f t="shared" si="4"/>
        <v>20000</v>
      </c>
    </row>
    <row r="277" spans="2:9" x14ac:dyDescent="0.3">
      <c r="B277" s="3">
        <v>46329</v>
      </c>
      <c r="C277" s="4" t="s">
        <v>20</v>
      </c>
      <c r="D277" s="4" t="str">
        <f>VLOOKUP(C277:C301,Table1[],2,0)</f>
        <v>analgesic</v>
      </c>
      <c r="E277" s="4" t="s">
        <v>62</v>
      </c>
      <c r="F277" s="4" t="str">
        <f>VLOOKUP(E276:E302,Table2[#All],2,0)</f>
        <v>CHENNAI</v>
      </c>
      <c r="G277" s="4">
        <v>3</v>
      </c>
      <c r="H277" s="5">
        <f>VLOOKUP(C:C,Table1[#All],3,0)</f>
        <v>800</v>
      </c>
      <c r="I277" s="5">
        <f t="shared" si="4"/>
        <v>2400</v>
      </c>
    </row>
    <row r="278" spans="2:9" x14ac:dyDescent="0.3">
      <c r="B278" s="3">
        <v>46329</v>
      </c>
      <c r="C278" s="4" t="s">
        <v>20</v>
      </c>
      <c r="D278" s="4" t="str">
        <f>VLOOKUP(C278:C302,Table1[],2,0)</f>
        <v>analgesic</v>
      </c>
      <c r="E278" s="4" t="s">
        <v>62</v>
      </c>
      <c r="F278" s="4" t="str">
        <f>VLOOKUP(E277:E303,Table2[#All],2,0)</f>
        <v>CHENNAI</v>
      </c>
      <c r="G278" s="4">
        <v>19</v>
      </c>
      <c r="H278" s="5">
        <f>VLOOKUP(C:C,Table1[#All],3,0)</f>
        <v>800</v>
      </c>
      <c r="I278" s="5">
        <f t="shared" si="4"/>
        <v>15200</v>
      </c>
    </row>
    <row r="279" spans="2:9" x14ac:dyDescent="0.3">
      <c r="B279" s="3">
        <v>46329</v>
      </c>
      <c r="C279" s="4" t="s">
        <v>10</v>
      </c>
      <c r="D279" s="4" t="str">
        <f>VLOOKUP(C279:C303,Table1[],2,0)</f>
        <v>antacids</v>
      </c>
      <c r="E279" s="4" t="s">
        <v>62</v>
      </c>
      <c r="F279" s="4" t="str">
        <f>VLOOKUP(E278:E304,Table2[#All],2,0)</f>
        <v>CHENNAI</v>
      </c>
      <c r="G279" s="4">
        <v>2</v>
      </c>
      <c r="H279" s="5">
        <f>VLOOKUP(C:C,Table1[#All],3,0)</f>
        <v>1658</v>
      </c>
      <c r="I279" s="5">
        <f t="shared" si="4"/>
        <v>3316</v>
      </c>
    </row>
    <row r="280" spans="2:9" x14ac:dyDescent="0.3">
      <c r="B280" s="3">
        <v>46329</v>
      </c>
      <c r="C280" s="4" t="s">
        <v>19</v>
      </c>
      <c r="D280" s="4" t="str">
        <f>VLOOKUP(C280:C304,Table1[],2,0)</f>
        <v>antibiotic</v>
      </c>
      <c r="E280" s="4" t="s">
        <v>46</v>
      </c>
      <c r="F280" s="4" t="str">
        <f>VLOOKUP(E279:E305,Table2[#All],2,0)</f>
        <v>HYDERABAD</v>
      </c>
      <c r="G280" s="4">
        <v>14</v>
      </c>
      <c r="H280" s="5">
        <f>VLOOKUP(C:C,Table1[#All],3,0)</f>
        <v>1560</v>
      </c>
      <c r="I280" s="5">
        <f t="shared" si="4"/>
        <v>21840</v>
      </c>
    </row>
    <row r="281" spans="2:9" x14ac:dyDescent="0.3">
      <c r="B281" s="3">
        <v>46329</v>
      </c>
      <c r="C281" s="4" t="s">
        <v>8</v>
      </c>
      <c r="D281" s="4" t="str">
        <f>VLOOKUP(C281:C305,Table1[],2,0)</f>
        <v>analgesic</v>
      </c>
      <c r="E281" s="4" t="s">
        <v>46</v>
      </c>
      <c r="F281" s="4" t="str">
        <f>VLOOKUP(E280:E306,Table2[#All],2,0)</f>
        <v>HYDERABAD</v>
      </c>
      <c r="G281" s="4">
        <v>5</v>
      </c>
      <c r="H281" s="5">
        <f>VLOOKUP(C:C,Table1[#All],3,0)</f>
        <v>2100</v>
      </c>
      <c r="I281" s="5">
        <f t="shared" si="4"/>
        <v>10500</v>
      </c>
    </row>
    <row r="282" spans="2:9" x14ac:dyDescent="0.3">
      <c r="B282" s="3">
        <v>46329</v>
      </c>
      <c r="C282" s="4" t="s">
        <v>8</v>
      </c>
      <c r="D282" s="4" t="str">
        <f>VLOOKUP(C282:C306,Table1[],2,0)</f>
        <v>analgesic</v>
      </c>
      <c r="E282" s="4" t="s">
        <v>46</v>
      </c>
      <c r="F282" s="4" t="str">
        <f>VLOOKUP(E281:E307,Table2[#All],2,0)</f>
        <v>HYDERABAD</v>
      </c>
      <c r="G282" s="4">
        <v>30</v>
      </c>
      <c r="H282" s="5">
        <f>VLOOKUP(C:C,Table1[#All],3,0)</f>
        <v>2100</v>
      </c>
      <c r="I282" s="5">
        <f t="shared" si="4"/>
        <v>63000</v>
      </c>
    </row>
    <row r="283" spans="2:9" x14ac:dyDescent="0.3">
      <c r="B283" s="3">
        <v>46329</v>
      </c>
      <c r="C283" s="4" t="s">
        <v>12</v>
      </c>
      <c r="D283" s="4" t="str">
        <f>VLOOKUP(C283:C307,Table1[],2,0)</f>
        <v>antihistamines</v>
      </c>
      <c r="E283" s="4" t="s">
        <v>46</v>
      </c>
      <c r="F283" s="4" t="str">
        <f>VLOOKUP(E282:E308,Table2[#All],2,0)</f>
        <v>HYDERABAD</v>
      </c>
      <c r="G283" s="4">
        <v>25</v>
      </c>
      <c r="H283" s="5">
        <f>VLOOKUP(C:C,Table1[#All],3,0)</f>
        <v>1400</v>
      </c>
      <c r="I283" s="5">
        <f t="shared" si="4"/>
        <v>35000</v>
      </c>
    </row>
    <row r="284" spans="2:9" x14ac:dyDescent="0.3">
      <c r="B284" s="3">
        <v>46329</v>
      </c>
      <c r="C284" s="4" t="s">
        <v>12</v>
      </c>
      <c r="D284" s="4" t="str">
        <f>VLOOKUP(C284:C308,Table1[],2,0)</f>
        <v>antihistamines</v>
      </c>
      <c r="E284" s="4" t="s">
        <v>64</v>
      </c>
      <c r="F284" s="4" t="str">
        <f>VLOOKUP(E283:E309,Table2[#All],2,0)</f>
        <v>NAGPUR</v>
      </c>
      <c r="G284" s="4">
        <v>14</v>
      </c>
      <c r="H284" s="5">
        <f>VLOOKUP(C:C,Table1[#All],3,0)</f>
        <v>1400</v>
      </c>
      <c r="I284" s="5">
        <f t="shared" si="4"/>
        <v>19600</v>
      </c>
    </row>
    <row r="285" spans="2:9" x14ac:dyDescent="0.3">
      <c r="B285" s="3">
        <v>46329</v>
      </c>
      <c r="C285" s="4" t="s">
        <v>12</v>
      </c>
      <c r="D285" s="4" t="str">
        <f>VLOOKUP(C285:C309,Table1[],2,0)</f>
        <v>antihistamines</v>
      </c>
      <c r="E285" s="4" t="s">
        <v>64</v>
      </c>
      <c r="F285" s="4" t="str">
        <f>VLOOKUP(E284:E310,Table2[#All],2,0)</f>
        <v>NAGPUR</v>
      </c>
      <c r="G285" s="4">
        <v>7</v>
      </c>
      <c r="H285" s="5">
        <f>VLOOKUP(C:C,Table1[#All],3,0)</f>
        <v>1400</v>
      </c>
      <c r="I285" s="5">
        <f t="shared" si="4"/>
        <v>9800</v>
      </c>
    </row>
    <row r="286" spans="2:9" x14ac:dyDescent="0.3">
      <c r="B286" s="3">
        <v>46329</v>
      </c>
      <c r="C286" s="4" t="s">
        <v>8</v>
      </c>
      <c r="D286" s="4" t="str">
        <f>VLOOKUP(C286:C310,Table1[],2,0)</f>
        <v>analgesic</v>
      </c>
      <c r="E286" s="4" t="s">
        <v>63</v>
      </c>
      <c r="F286" s="4" t="str">
        <f>VLOOKUP(E285:E311,Table2[#All],2,0)</f>
        <v>DELHI</v>
      </c>
      <c r="G286" s="4">
        <v>32</v>
      </c>
      <c r="H286" s="5">
        <f>VLOOKUP(C:C,Table1[#All],3,0)</f>
        <v>2100</v>
      </c>
      <c r="I286" s="5">
        <f t="shared" si="4"/>
        <v>67200</v>
      </c>
    </row>
    <row r="287" spans="2:9" x14ac:dyDescent="0.3">
      <c r="B287" s="3">
        <v>46329</v>
      </c>
      <c r="C287" s="4" t="s">
        <v>11</v>
      </c>
      <c r="D287" s="4" t="str">
        <f>VLOOKUP(C287:C311,Table1[],2,0)</f>
        <v>antacids</v>
      </c>
      <c r="E287" s="4" t="s">
        <v>48</v>
      </c>
      <c r="F287" s="4" t="str">
        <f>VLOOKUP(E286:E312,Table2[#All],2,0)</f>
        <v>CHENNAI</v>
      </c>
      <c r="G287" s="4">
        <v>2</v>
      </c>
      <c r="H287" s="5">
        <f>VLOOKUP(C:C,Table1[#All],3,0)</f>
        <v>3216</v>
      </c>
      <c r="I287" s="5">
        <f t="shared" si="4"/>
        <v>6432</v>
      </c>
    </row>
    <row r="288" spans="2:9" x14ac:dyDescent="0.3">
      <c r="B288" s="3">
        <v>46329</v>
      </c>
      <c r="C288" s="4" t="s">
        <v>10</v>
      </c>
      <c r="D288" s="4" t="str">
        <f>VLOOKUP(C288:C312,Table1[],2,0)</f>
        <v>antacids</v>
      </c>
      <c r="E288" s="4" t="s">
        <v>63</v>
      </c>
      <c r="F288" s="4" t="str">
        <f>VLOOKUP(E287:E313,Table2[#All],2,0)</f>
        <v>DELHI</v>
      </c>
      <c r="G288" s="4">
        <v>26</v>
      </c>
      <c r="H288" s="5">
        <f>VLOOKUP(C:C,Table1[#All],3,0)</f>
        <v>1658</v>
      </c>
      <c r="I288" s="5">
        <f t="shared" si="4"/>
        <v>43108</v>
      </c>
    </row>
    <row r="289" spans="2:9" x14ac:dyDescent="0.3">
      <c r="B289" s="3">
        <v>46329</v>
      </c>
      <c r="C289" s="4" t="s">
        <v>8</v>
      </c>
      <c r="D289" s="4" t="str">
        <f>VLOOKUP(C289:C313,Table1[],2,0)</f>
        <v>analgesic</v>
      </c>
      <c r="E289" s="4" t="s">
        <v>63</v>
      </c>
      <c r="F289" s="4" t="str">
        <f>VLOOKUP(E288:E314,Table2[#All],2,0)</f>
        <v>DELHI</v>
      </c>
      <c r="G289" s="4">
        <v>8</v>
      </c>
      <c r="H289" s="5">
        <f>VLOOKUP(C:C,Table1[#All],3,0)</f>
        <v>2100</v>
      </c>
      <c r="I289" s="5">
        <f t="shared" si="4"/>
        <v>16800</v>
      </c>
    </row>
    <row r="290" spans="2:9" x14ac:dyDescent="0.3">
      <c r="B290" s="3">
        <v>46329</v>
      </c>
      <c r="C290" s="4" t="s">
        <v>12</v>
      </c>
      <c r="D290" s="4" t="str">
        <f>VLOOKUP(C290:C314,Table1[],2,0)</f>
        <v>antihistamines</v>
      </c>
      <c r="E290" s="4" t="s">
        <v>55</v>
      </c>
      <c r="F290" s="4" t="str">
        <f>VLOOKUP(E289:E315,Table2[#All],2,0)</f>
        <v>NAGPUR</v>
      </c>
      <c r="G290" s="4">
        <v>15</v>
      </c>
      <c r="H290" s="5">
        <f>VLOOKUP(C:C,Table1[#All],3,0)</f>
        <v>1400</v>
      </c>
      <c r="I290" s="5">
        <f t="shared" si="4"/>
        <v>21000</v>
      </c>
    </row>
    <row r="291" spans="2:9" x14ac:dyDescent="0.3">
      <c r="B291" s="3">
        <v>46329</v>
      </c>
      <c r="C291" s="4" t="s">
        <v>68</v>
      </c>
      <c r="D291" s="4" t="s">
        <v>39</v>
      </c>
      <c r="E291" s="4" t="s">
        <v>55</v>
      </c>
      <c r="F291" s="4" t="str">
        <f>VLOOKUP(E290:E316,Table2[#All],2,0)</f>
        <v>NAGPUR</v>
      </c>
      <c r="G291" s="4">
        <v>4</v>
      </c>
      <c r="H291" s="5">
        <v>3200</v>
      </c>
      <c r="I291" s="5">
        <f t="shared" si="4"/>
        <v>12800</v>
      </c>
    </row>
    <row r="292" spans="2:9" x14ac:dyDescent="0.3">
      <c r="B292" s="3">
        <v>46329</v>
      </c>
      <c r="C292" s="4" t="s">
        <v>9</v>
      </c>
      <c r="D292" s="4" t="str">
        <f>VLOOKUP(C292:C316,Table1[],2,0)</f>
        <v>antibiotic</v>
      </c>
      <c r="E292" s="4" t="s">
        <v>55</v>
      </c>
      <c r="F292" s="4" t="str">
        <f>VLOOKUP(E291:E317,Table2[#All],2,0)</f>
        <v>NAGPUR</v>
      </c>
      <c r="G292" s="4">
        <v>20</v>
      </c>
      <c r="H292" s="5">
        <f>VLOOKUP(C:C,Table1[#All],3,0)</f>
        <v>400</v>
      </c>
      <c r="I292" s="5">
        <f t="shared" si="4"/>
        <v>8000</v>
      </c>
    </row>
    <row r="293" spans="2:9" x14ac:dyDescent="0.3">
      <c r="B293" s="3">
        <v>46329</v>
      </c>
      <c r="C293" s="4" t="s">
        <v>20</v>
      </c>
      <c r="D293" s="4" t="str">
        <f>VLOOKUP(C293:C317,Table1[],2,0)</f>
        <v>analgesic</v>
      </c>
      <c r="E293" s="4" t="s">
        <v>56</v>
      </c>
      <c r="F293" s="4" t="str">
        <f>VLOOKUP(E292:E318,Table2[#All],2,0)</f>
        <v>PUNE</v>
      </c>
      <c r="G293" s="4">
        <v>11</v>
      </c>
      <c r="H293" s="5">
        <f>VLOOKUP(C:C,Table1[#All],3,0)</f>
        <v>800</v>
      </c>
      <c r="I293" s="5">
        <f t="shared" si="4"/>
        <v>8800</v>
      </c>
    </row>
    <row r="294" spans="2:9" x14ac:dyDescent="0.3">
      <c r="B294" s="3">
        <v>46329</v>
      </c>
      <c r="C294" s="4" t="s">
        <v>16</v>
      </c>
      <c r="D294" s="4" t="str">
        <f>VLOOKUP(C294:C318,Table1[],2,0)</f>
        <v>antibacterial</v>
      </c>
      <c r="E294" s="4" t="s">
        <v>56</v>
      </c>
      <c r="F294" s="4" t="str">
        <f>VLOOKUP(E293:E319,Table2[#All],2,0)</f>
        <v>PUNE</v>
      </c>
      <c r="G294" s="4">
        <v>15</v>
      </c>
      <c r="H294" s="5">
        <f>VLOOKUP(C:C,Table1[#All],3,0)</f>
        <v>1600</v>
      </c>
      <c r="I294" s="5">
        <f t="shared" si="4"/>
        <v>24000</v>
      </c>
    </row>
    <row r="295" spans="2:9" x14ac:dyDescent="0.3">
      <c r="B295" s="3">
        <v>46329</v>
      </c>
      <c r="C295" s="4" t="s">
        <v>17</v>
      </c>
      <c r="D295" s="4" t="str">
        <f>VLOOKUP(C295:C319,Table1[],2,0)</f>
        <v>antidiabetic</v>
      </c>
      <c r="E295" s="4" t="s">
        <v>47</v>
      </c>
      <c r="F295" s="4" t="str">
        <f>VLOOKUP(E294:E320,Table2[#All],2,0)</f>
        <v>MUMBAI</v>
      </c>
      <c r="G295" s="4">
        <v>13</v>
      </c>
      <c r="H295" s="5">
        <f>VLOOKUP(C:C,Table1[#All],3,0)</f>
        <v>1080</v>
      </c>
      <c r="I295" s="5">
        <f t="shared" si="4"/>
        <v>14040</v>
      </c>
    </row>
    <row r="296" spans="2:9" x14ac:dyDescent="0.3">
      <c r="B296" s="3">
        <v>46329</v>
      </c>
      <c r="C296" s="4" t="s">
        <v>15</v>
      </c>
      <c r="D296" s="4" t="s">
        <v>40</v>
      </c>
      <c r="E296" s="4" t="s">
        <v>47</v>
      </c>
      <c r="F296" s="4" t="str">
        <f>VLOOKUP(E295:E321,Table2[#All],2,0)</f>
        <v>MUMBAI</v>
      </c>
      <c r="G296" s="4">
        <v>4</v>
      </c>
      <c r="H296" s="5">
        <v>300</v>
      </c>
      <c r="I296" s="5">
        <f t="shared" si="4"/>
        <v>1200</v>
      </c>
    </row>
    <row r="297" spans="2:9" x14ac:dyDescent="0.3">
      <c r="B297" s="3">
        <v>46329</v>
      </c>
      <c r="C297" s="4" t="s">
        <v>16</v>
      </c>
      <c r="D297" s="4" t="str">
        <f>VLOOKUP(C:C,Table1[#All],2,0)</f>
        <v>antibacterial</v>
      </c>
      <c r="E297" s="4" t="s">
        <v>54</v>
      </c>
      <c r="F297" s="4" t="str">
        <f>VLOOKUP(E296:E322,Table2[#All],2,0)</f>
        <v>DELHI</v>
      </c>
      <c r="G297" s="4">
        <v>10</v>
      </c>
      <c r="H297" s="5">
        <f>VLOOKUP(C:C,Table1[#All],3,0)</f>
        <v>1600</v>
      </c>
      <c r="I297" s="5">
        <f t="shared" si="4"/>
        <v>16000</v>
      </c>
    </row>
    <row r="298" spans="2:9" x14ac:dyDescent="0.3">
      <c r="B298" s="3">
        <v>46329</v>
      </c>
      <c r="C298" s="4" t="s">
        <v>13</v>
      </c>
      <c r="D298" s="4" t="str">
        <f>VLOOKUP(C:C,Table1[#All],2,0)</f>
        <v>antipyretic</v>
      </c>
      <c r="E298" s="4" t="s">
        <v>54</v>
      </c>
      <c r="F298" s="4" t="str">
        <f>VLOOKUP(E297:E323,Table2[#All],2,0)</f>
        <v>DELHI</v>
      </c>
      <c r="G298" s="4">
        <v>17</v>
      </c>
      <c r="H298" s="5">
        <f>VLOOKUP(C:C,Table1[#All],3,0)</f>
        <v>5400</v>
      </c>
      <c r="I298" s="5">
        <f t="shared" si="4"/>
        <v>91800</v>
      </c>
    </row>
    <row r="299" spans="2:9" x14ac:dyDescent="0.3">
      <c r="B299" s="3">
        <v>46329</v>
      </c>
      <c r="C299" s="4" t="s">
        <v>16</v>
      </c>
      <c r="D299" s="4" t="str">
        <f>VLOOKUP(C:C,Table1[#All],2,0)</f>
        <v>antibacterial</v>
      </c>
      <c r="E299" s="4" t="s">
        <v>54</v>
      </c>
      <c r="F299" s="4" t="str">
        <f>VLOOKUP(E298:E324,Table2[#All],2,0)</f>
        <v>DELHI</v>
      </c>
      <c r="G299" s="4">
        <v>8</v>
      </c>
      <c r="H299" s="5">
        <f>VLOOKUP(C:C,Table1[#All],3,0)</f>
        <v>1600</v>
      </c>
      <c r="I299" s="5">
        <f t="shared" si="4"/>
        <v>12800</v>
      </c>
    </row>
    <row r="300" spans="2:9" x14ac:dyDescent="0.3">
      <c r="B300" s="3">
        <v>46329</v>
      </c>
      <c r="C300" s="4" t="s">
        <v>12</v>
      </c>
      <c r="D300" s="4" t="str">
        <f>VLOOKUP(C:C,Table1[#All],2,0)</f>
        <v>antihistamines</v>
      </c>
      <c r="E300" s="4" t="s">
        <v>46</v>
      </c>
      <c r="F300" s="4" t="str">
        <f>VLOOKUP(E299:E325,Table2[#All],2,0)</f>
        <v>HYDERABAD</v>
      </c>
      <c r="G300" s="4">
        <v>30</v>
      </c>
      <c r="H300" s="5">
        <f>VLOOKUP(C:C,Table1[#All],3,0)</f>
        <v>1400</v>
      </c>
      <c r="I300" s="5">
        <f t="shared" si="4"/>
        <v>42000</v>
      </c>
    </row>
    <row r="301" spans="2:9" x14ac:dyDescent="0.3">
      <c r="B301" s="3">
        <v>46329</v>
      </c>
      <c r="C301" s="4" t="s">
        <v>14</v>
      </c>
      <c r="D301" s="4" t="str">
        <f>VLOOKUP(C:C,Table1[#All],2,0)</f>
        <v>vitamins</v>
      </c>
      <c r="E301" s="4" t="s">
        <v>45</v>
      </c>
      <c r="F301" s="4" t="str">
        <f>VLOOKUP(E300:E326,Table2[#All],2,0)</f>
        <v>PUNE</v>
      </c>
      <c r="G301" s="4">
        <v>31</v>
      </c>
      <c r="H301" s="5">
        <f>VLOOKUP(C:C,Table1[#All],3,0)</f>
        <v>425</v>
      </c>
      <c r="I301" s="5">
        <f t="shared" si="4"/>
        <v>13175</v>
      </c>
    </row>
    <row r="302" spans="2:9" x14ac:dyDescent="0.3">
      <c r="B302" s="3">
        <v>46329</v>
      </c>
      <c r="C302" s="4" t="s">
        <v>18</v>
      </c>
      <c r="D302" s="4" t="s">
        <v>39</v>
      </c>
      <c r="E302" s="4" t="s">
        <v>45</v>
      </c>
      <c r="F302" s="4" t="str">
        <f>VLOOKUP(E301:E327,Table2[#All],2,0)</f>
        <v>PUNE</v>
      </c>
      <c r="G302" s="4">
        <v>24</v>
      </c>
      <c r="H302" s="5">
        <v>3200</v>
      </c>
      <c r="I302" s="5">
        <f t="shared" si="4"/>
        <v>76800</v>
      </c>
    </row>
    <row r="303" spans="2:9" x14ac:dyDescent="0.3">
      <c r="B303" s="3">
        <v>46329</v>
      </c>
      <c r="C303" s="4" t="s">
        <v>19</v>
      </c>
      <c r="D303" s="4" t="str">
        <f>VLOOKUP(C:C,Table1[#All],2,0)</f>
        <v>antibiotic</v>
      </c>
      <c r="E303" s="4" t="s">
        <v>57</v>
      </c>
      <c r="F303" s="4" t="str">
        <f>VLOOKUP(E302:E328,Table2[#All],2,0)</f>
        <v>MUMBAI</v>
      </c>
      <c r="G303" s="4">
        <v>14</v>
      </c>
      <c r="H303" s="5">
        <f>VLOOKUP(C:C,Table1[#All],3,0)</f>
        <v>1560</v>
      </c>
      <c r="I303" s="5">
        <f t="shared" si="4"/>
        <v>21840</v>
      </c>
    </row>
    <row r="304" spans="2:9" x14ac:dyDescent="0.3">
      <c r="B304" s="3">
        <v>46329</v>
      </c>
      <c r="C304" s="4" t="s">
        <v>20</v>
      </c>
      <c r="D304" s="4" t="str">
        <f>VLOOKUP(C:C,Table1[#All],2,0)</f>
        <v>analgesic</v>
      </c>
      <c r="E304" s="4" t="s">
        <v>57</v>
      </c>
      <c r="F304" s="4" t="str">
        <f>VLOOKUP(E303:E329,Table2[#All],2,0)</f>
        <v>MUMBAI</v>
      </c>
      <c r="G304" s="4">
        <v>51</v>
      </c>
      <c r="H304" s="5">
        <f>VLOOKUP(C:C,Table1[#All],3,0)</f>
        <v>800</v>
      </c>
      <c r="I304" s="5">
        <f t="shared" si="4"/>
        <v>40800</v>
      </c>
    </row>
    <row r="305" spans="2:9" x14ac:dyDescent="0.3">
      <c r="B305" s="3">
        <v>46329</v>
      </c>
      <c r="C305" s="4" t="s">
        <v>20</v>
      </c>
      <c r="D305" s="4" t="str">
        <f>VLOOKUP(C:C,Table1[#All],2,0)</f>
        <v>analgesic</v>
      </c>
      <c r="E305" s="4" t="s">
        <v>60</v>
      </c>
      <c r="F305" s="4" t="str">
        <f>VLOOKUP(E304:E330,Table2[#All],2,0)</f>
        <v>BANGLORE</v>
      </c>
      <c r="G305" s="4">
        <v>3</v>
      </c>
      <c r="H305" s="5">
        <f>VLOOKUP(C:C,Table1[#All],3,0)</f>
        <v>800</v>
      </c>
      <c r="I305" s="5">
        <f t="shared" si="4"/>
        <v>2400</v>
      </c>
    </row>
    <row r="306" spans="2:9" x14ac:dyDescent="0.3">
      <c r="B306" s="3">
        <v>46329</v>
      </c>
      <c r="C306" s="4" t="s">
        <v>12</v>
      </c>
      <c r="D306" s="4" t="str">
        <f>VLOOKUP(C:C,Table1[#All],2,0)</f>
        <v>antihistamines</v>
      </c>
      <c r="E306" s="4" t="s">
        <v>60</v>
      </c>
      <c r="F306" s="4" t="str">
        <f>VLOOKUP(E305:E331,Table2[#All],2,0)</f>
        <v>BANGLORE</v>
      </c>
      <c r="G306" s="4">
        <v>20</v>
      </c>
      <c r="H306" s="5">
        <f>VLOOKUP(C:C,Table1[#All],3,0)</f>
        <v>1400</v>
      </c>
      <c r="I306" s="5">
        <f t="shared" si="4"/>
        <v>28000</v>
      </c>
    </row>
    <row r="307" spans="2:9" x14ac:dyDescent="0.3">
      <c r="B307" s="3">
        <v>46329</v>
      </c>
      <c r="C307" s="4" t="s">
        <v>10</v>
      </c>
      <c r="D307" s="4" t="str">
        <f>VLOOKUP(C:C,Table1[#All],2,0)</f>
        <v>antacids</v>
      </c>
      <c r="E307" s="4" t="s">
        <v>60</v>
      </c>
      <c r="F307" s="4" t="str">
        <f>VLOOKUP(E306:E332,Table2[#All],2,0)</f>
        <v>BANGLORE</v>
      </c>
      <c r="G307" s="4">
        <v>8</v>
      </c>
      <c r="H307" s="5">
        <f>VLOOKUP(C:C,Table1[#All],3,0)</f>
        <v>1658</v>
      </c>
      <c r="I307" s="5">
        <f t="shared" si="4"/>
        <v>13264</v>
      </c>
    </row>
    <row r="308" spans="2:9" x14ac:dyDescent="0.3">
      <c r="B308" s="3">
        <v>46329</v>
      </c>
      <c r="C308" s="4" t="s">
        <v>17</v>
      </c>
      <c r="D308" s="4" t="str">
        <f>VLOOKUP(C:C,Table1[#All],2,0)</f>
        <v>antidiabetic</v>
      </c>
      <c r="E308" s="4" t="s">
        <v>56</v>
      </c>
      <c r="F308" s="4" t="str">
        <f>VLOOKUP(E307:E333,Table2[#All],2,0)</f>
        <v>PUNE</v>
      </c>
      <c r="G308" s="4">
        <v>16</v>
      </c>
      <c r="H308" s="5">
        <f>VLOOKUP(C:C,Table1[#All],3,0)</f>
        <v>1080</v>
      </c>
      <c r="I308" s="5">
        <f t="shared" si="4"/>
        <v>17280</v>
      </c>
    </row>
    <row r="309" spans="2:9" x14ac:dyDescent="0.3">
      <c r="B309" s="3">
        <v>46329</v>
      </c>
      <c r="C309" s="4" t="s">
        <v>17</v>
      </c>
      <c r="D309" s="4" t="str">
        <f>VLOOKUP(C:C,Table1[#All],2,0)</f>
        <v>antidiabetic</v>
      </c>
      <c r="E309" s="4" t="s">
        <v>47</v>
      </c>
      <c r="F309" s="4" t="str">
        <f>VLOOKUP(E308:E334,Table2[#All],2,0)</f>
        <v>MUMBAI</v>
      </c>
      <c r="G309" s="4">
        <v>5</v>
      </c>
      <c r="H309" s="5">
        <f>VLOOKUP(C:C,Table1[#All],3,0)</f>
        <v>1080</v>
      </c>
      <c r="I309" s="5">
        <f t="shared" si="4"/>
        <v>5400</v>
      </c>
    </row>
    <row r="310" spans="2:9" x14ac:dyDescent="0.3">
      <c r="B310" s="3">
        <v>46329</v>
      </c>
      <c r="C310" s="4" t="s">
        <v>13</v>
      </c>
      <c r="D310" s="4" t="str">
        <f>VLOOKUP(C:C,Table1[#All],2,0)</f>
        <v>antipyretic</v>
      </c>
      <c r="E310" s="4" t="s">
        <v>46</v>
      </c>
      <c r="F310" s="4" t="str">
        <f>VLOOKUP(E309:E335,Table2[#All],2,0)</f>
        <v>HYDERABAD</v>
      </c>
      <c r="G310" s="4">
        <v>10</v>
      </c>
      <c r="H310" s="5">
        <f>VLOOKUP(C:C,Table1[#All],3,0)</f>
        <v>5400</v>
      </c>
      <c r="I310" s="5">
        <f t="shared" si="4"/>
        <v>54000</v>
      </c>
    </row>
    <row r="311" spans="2:9" x14ac:dyDescent="0.3">
      <c r="B311" s="3">
        <v>46329</v>
      </c>
      <c r="C311" s="4" t="s">
        <v>15</v>
      </c>
      <c r="D311" s="4" t="s">
        <v>40</v>
      </c>
      <c r="E311" s="4" t="s">
        <v>45</v>
      </c>
      <c r="F311" s="4" t="str">
        <f>VLOOKUP(E310:E336,Table2[#All],2,0)</f>
        <v>PUNE</v>
      </c>
      <c r="G311" s="4">
        <v>3</v>
      </c>
      <c r="H311" s="5">
        <v>300</v>
      </c>
      <c r="I311" s="5">
        <f t="shared" si="4"/>
        <v>900</v>
      </c>
    </row>
    <row r="312" spans="2:9" x14ac:dyDescent="0.3">
      <c r="B312" s="3">
        <v>46329</v>
      </c>
      <c r="C312" s="4" t="s">
        <v>19</v>
      </c>
      <c r="D312" s="4" t="str">
        <f>VLOOKUP(C:C,Table1[#All],2,0)</f>
        <v>antibiotic</v>
      </c>
      <c r="E312" s="4" t="s">
        <v>54</v>
      </c>
      <c r="F312" s="4" t="str">
        <f>VLOOKUP(E311:E337,Table2[#All],2,0)</f>
        <v>DELHI</v>
      </c>
      <c r="G312" s="4">
        <v>29</v>
      </c>
      <c r="H312" s="5">
        <f>VLOOKUP(C:C,Table1[#All],3,0)</f>
        <v>1560</v>
      </c>
      <c r="I312" s="5">
        <f t="shared" si="4"/>
        <v>45240</v>
      </c>
    </row>
    <row r="313" spans="2:9" x14ac:dyDescent="0.3">
      <c r="B313" s="3">
        <v>46329</v>
      </c>
      <c r="C313" s="4" t="s">
        <v>8</v>
      </c>
      <c r="D313" s="4" t="str">
        <f>VLOOKUP(C:C,Table1[#All],2,0)</f>
        <v>analgesic</v>
      </c>
      <c r="E313" s="4" t="s">
        <v>63</v>
      </c>
      <c r="F313" s="4" t="str">
        <f>VLOOKUP(E312:E338,Table2[#All],2,0)</f>
        <v>DELHI</v>
      </c>
      <c r="G313" s="4">
        <v>7</v>
      </c>
      <c r="H313" s="5">
        <f>VLOOKUP(C:C,Table1[#All],3,0)</f>
        <v>2100</v>
      </c>
      <c r="I313" s="5">
        <f t="shared" si="4"/>
        <v>14700</v>
      </c>
    </row>
    <row r="314" spans="2:9" x14ac:dyDescent="0.3">
      <c r="B314" s="3">
        <v>46387</v>
      </c>
      <c r="C314" s="4" t="s">
        <v>12</v>
      </c>
      <c r="D314" s="4" t="str">
        <f>VLOOKUP(C314:C338,Table1[],2,0)</f>
        <v>antihistamines</v>
      </c>
      <c r="E314" s="4" t="s">
        <v>61</v>
      </c>
      <c r="F314" s="4" t="str">
        <f>VLOOKUP(E313:E339,Table2[#All],2,0)</f>
        <v>HYDERABAD</v>
      </c>
      <c r="G314" s="4">
        <v>10</v>
      </c>
      <c r="H314" s="5">
        <f>VLOOKUP(C:C,Table1[#All],3,0)</f>
        <v>1400</v>
      </c>
      <c r="I314" s="5">
        <f t="shared" si="4"/>
        <v>14000</v>
      </c>
    </row>
    <row r="315" spans="2:9" x14ac:dyDescent="0.3">
      <c r="B315" s="3">
        <v>46387</v>
      </c>
      <c r="C315" s="4" t="s">
        <v>12</v>
      </c>
      <c r="D315" s="4" t="str">
        <f>VLOOKUP(C315:C339,Table1[],2,0)</f>
        <v>antihistamines</v>
      </c>
      <c r="E315" s="4" t="s">
        <v>61</v>
      </c>
      <c r="F315" s="4" t="str">
        <f>VLOOKUP(E314:E340,Table2[#All],2,0)</f>
        <v>HYDERABAD</v>
      </c>
      <c r="G315" s="4">
        <v>5</v>
      </c>
      <c r="H315" s="5">
        <f>VLOOKUP(C:C,Table1[#All],3,0)</f>
        <v>1400</v>
      </c>
      <c r="I315" s="5">
        <f t="shared" si="4"/>
        <v>7000</v>
      </c>
    </row>
    <row r="316" spans="2:9" x14ac:dyDescent="0.3">
      <c r="B316" s="3">
        <v>46387</v>
      </c>
      <c r="C316" s="4" t="s">
        <v>8</v>
      </c>
      <c r="D316" s="4" t="str">
        <f>VLOOKUP(C316:C340,Table1[],2,0)</f>
        <v>analgesic</v>
      </c>
      <c r="E316" s="4" t="s">
        <v>61</v>
      </c>
      <c r="F316" s="4" t="str">
        <f>VLOOKUP(E315:E341,Table2[#All],2,0)</f>
        <v>HYDERABAD</v>
      </c>
      <c r="G316" s="4">
        <v>8</v>
      </c>
      <c r="H316" s="5">
        <f>VLOOKUP(C:C,Table1[#All],3,0)</f>
        <v>2100</v>
      </c>
      <c r="I316" s="5">
        <f t="shared" si="4"/>
        <v>16800</v>
      </c>
    </row>
    <row r="317" spans="2:9" x14ac:dyDescent="0.3">
      <c r="B317" s="3">
        <v>46387</v>
      </c>
      <c r="C317" s="4" t="s">
        <v>13</v>
      </c>
      <c r="D317" s="4" t="str">
        <f>VLOOKUP(C317:C341,Table1[],2,0)</f>
        <v>antipyretic</v>
      </c>
      <c r="E317" s="4" t="s">
        <v>56</v>
      </c>
      <c r="F317" s="4" t="str">
        <f>VLOOKUP(E316:E342,Table2[#All],2,0)</f>
        <v>PUNE</v>
      </c>
      <c r="G317" s="4">
        <v>23</v>
      </c>
      <c r="H317" s="5">
        <f>VLOOKUP(C:C,Table1[#All],3,0)</f>
        <v>5400</v>
      </c>
      <c r="I317" s="5">
        <f t="shared" si="4"/>
        <v>124200</v>
      </c>
    </row>
    <row r="318" spans="2:9" x14ac:dyDescent="0.3">
      <c r="B318" s="3">
        <v>46387</v>
      </c>
      <c r="C318" s="4" t="s">
        <v>13</v>
      </c>
      <c r="D318" s="4" t="str">
        <f>VLOOKUP(C318:C342,Table1[],2,0)</f>
        <v>antipyretic</v>
      </c>
      <c r="E318" s="4" t="s">
        <v>56</v>
      </c>
      <c r="F318" s="4" t="str">
        <f>VLOOKUP(E317:E343,Table2[#All],2,0)</f>
        <v>PUNE</v>
      </c>
      <c r="G318" s="4">
        <v>6</v>
      </c>
      <c r="H318" s="5">
        <f>VLOOKUP(C:C,Table1[#All],3,0)</f>
        <v>5400</v>
      </c>
      <c r="I318" s="5">
        <f t="shared" si="4"/>
        <v>32400</v>
      </c>
    </row>
    <row r="319" spans="2:9" x14ac:dyDescent="0.3">
      <c r="B319" s="3">
        <v>46387</v>
      </c>
      <c r="C319" s="4" t="s">
        <v>15</v>
      </c>
      <c r="D319" s="4" t="s">
        <v>40</v>
      </c>
      <c r="E319" s="4" t="s">
        <v>60</v>
      </c>
      <c r="F319" s="4" t="str">
        <f>VLOOKUP(E318:E344,Table2[#All],2,0)</f>
        <v>BANGLORE</v>
      </c>
      <c r="G319" s="4">
        <v>15</v>
      </c>
      <c r="H319" s="5">
        <v>300</v>
      </c>
      <c r="I319" s="5">
        <f t="shared" si="4"/>
        <v>4500</v>
      </c>
    </row>
    <row r="320" spans="2:9" x14ac:dyDescent="0.3">
      <c r="B320" s="3">
        <v>46387</v>
      </c>
      <c r="C320" s="4" t="s">
        <v>16</v>
      </c>
      <c r="D320" s="4" t="str">
        <f>VLOOKUP(C320:C344,Table1[],2,0)</f>
        <v>antibacterial</v>
      </c>
      <c r="E320" s="4" t="s">
        <v>45</v>
      </c>
      <c r="F320" s="4" t="str">
        <f>VLOOKUP(E319:E345,Table2[#All],2,0)</f>
        <v>PUNE</v>
      </c>
      <c r="G320" s="4">
        <v>19</v>
      </c>
      <c r="H320" s="5">
        <f>VLOOKUP(C:C,Table1[#All],3,0)</f>
        <v>1600</v>
      </c>
      <c r="I320" s="5">
        <f t="shared" si="4"/>
        <v>30400</v>
      </c>
    </row>
    <row r="321" spans="2:9" x14ac:dyDescent="0.3">
      <c r="B321" s="3">
        <v>46387</v>
      </c>
      <c r="C321" s="4" t="s">
        <v>15</v>
      </c>
      <c r="D321" s="4" t="s">
        <v>40</v>
      </c>
      <c r="E321" s="4" t="s">
        <v>45</v>
      </c>
      <c r="F321" s="4" t="str">
        <f>VLOOKUP(E320:E346,Table2[#All],2,0)</f>
        <v>PUNE</v>
      </c>
      <c r="G321" s="4">
        <v>20</v>
      </c>
      <c r="H321" s="5">
        <v>300</v>
      </c>
      <c r="I321" s="5">
        <f t="shared" si="4"/>
        <v>6000</v>
      </c>
    </row>
    <row r="322" spans="2:9" x14ac:dyDescent="0.3">
      <c r="B322" s="3">
        <v>46387</v>
      </c>
      <c r="C322" s="4" t="s">
        <v>17</v>
      </c>
      <c r="D322" s="4" t="str">
        <f>VLOOKUP(C322:C346,Table1[],2,0)</f>
        <v>antidiabetic</v>
      </c>
      <c r="E322" s="4" t="s">
        <v>62</v>
      </c>
      <c r="F322" s="4" t="str">
        <f>VLOOKUP(E321:E347,Table2[#All],2,0)</f>
        <v>CHENNAI</v>
      </c>
      <c r="G322" s="4">
        <v>7</v>
      </c>
      <c r="H322" s="5">
        <f>VLOOKUP(C:C,Table1[#All],3,0)</f>
        <v>1080</v>
      </c>
      <c r="I322" s="5">
        <f t="shared" si="4"/>
        <v>7560</v>
      </c>
    </row>
    <row r="323" spans="2:9" x14ac:dyDescent="0.3">
      <c r="B323" s="3">
        <v>46387</v>
      </c>
      <c r="C323" s="4" t="s">
        <v>8</v>
      </c>
      <c r="D323" s="4" t="str">
        <f>VLOOKUP(C323:C347,Table1[],2,0)</f>
        <v>analgesic</v>
      </c>
      <c r="E323" s="4" t="s">
        <v>62</v>
      </c>
      <c r="F323" s="4" t="str">
        <f>VLOOKUP(E322:E348,Table2[#All],2,0)</f>
        <v>CHENNAI</v>
      </c>
      <c r="G323" s="4">
        <v>18</v>
      </c>
      <c r="H323" s="5">
        <f>VLOOKUP(C:C,Table1[#All],3,0)</f>
        <v>2100</v>
      </c>
      <c r="I323" s="5">
        <f t="shared" ref="I323:I350" si="5">G:G*H:H</f>
        <v>37800</v>
      </c>
    </row>
    <row r="324" spans="2:9" x14ac:dyDescent="0.3">
      <c r="B324" s="3">
        <v>46387</v>
      </c>
      <c r="C324" s="4" t="s">
        <v>17</v>
      </c>
      <c r="D324" s="4" t="str">
        <f>VLOOKUP(C324:C348,Table1[],2,0)</f>
        <v>antidiabetic</v>
      </c>
      <c r="E324" s="4" t="s">
        <v>62</v>
      </c>
      <c r="F324" s="4" t="str">
        <f>VLOOKUP(E323:E349,Table2[#All],2,0)</f>
        <v>CHENNAI</v>
      </c>
      <c r="G324" s="4">
        <v>1</v>
      </c>
      <c r="H324" s="5">
        <f>VLOOKUP(C:C,Table1[#All],3,0)</f>
        <v>1080</v>
      </c>
      <c r="I324" s="5">
        <f t="shared" si="5"/>
        <v>1080</v>
      </c>
    </row>
    <row r="325" spans="2:9" x14ac:dyDescent="0.3">
      <c r="B325" s="3">
        <v>46387</v>
      </c>
      <c r="C325" s="4" t="s">
        <v>18</v>
      </c>
      <c r="D325" s="4" t="s">
        <v>39</v>
      </c>
      <c r="E325" s="4" t="s">
        <v>46</v>
      </c>
      <c r="F325" s="4" t="str">
        <f>VLOOKUP(E324:E350,Table2[#All],2,0)</f>
        <v>HYDERABAD</v>
      </c>
      <c r="G325" s="4">
        <v>50</v>
      </c>
      <c r="H325" s="5">
        <v>3200</v>
      </c>
      <c r="I325" s="5">
        <f t="shared" si="5"/>
        <v>160000</v>
      </c>
    </row>
    <row r="326" spans="2:9" x14ac:dyDescent="0.3">
      <c r="B326" s="3">
        <v>46387</v>
      </c>
      <c r="C326" s="4" t="s">
        <v>8</v>
      </c>
      <c r="D326" s="4" t="str">
        <f>VLOOKUP(C326:C350,Table1[],2,0)</f>
        <v>analgesic</v>
      </c>
      <c r="E326" s="4" t="s">
        <v>46</v>
      </c>
      <c r="F326" s="4" t="str">
        <f>VLOOKUP(E325:E351,Table2[#All],2,0)</f>
        <v>HYDERABAD</v>
      </c>
      <c r="G326" s="4">
        <v>26</v>
      </c>
      <c r="H326" s="5">
        <f>VLOOKUP(C:C,Table1[#All],3,0)</f>
        <v>2100</v>
      </c>
      <c r="I326" s="5">
        <f t="shared" si="5"/>
        <v>54600</v>
      </c>
    </row>
    <row r="327" spans="2:9" x14ac:dyDescent="0.3">
      <c r="B327" s="3">
        <v>46387</v>
      </c>
      <c r="C327" s="4" t="s">
        <v>16</v>
      </c>
      <c r="D327" s="4" t="str">
        <f>VLOOKUP(C327:C351,Table1[],2,0)</f>
        <v>antibacterial</v>
      </c>
      <c r="E327" s="4" t="s">
        <v>46</v>
      </c>
      <c r="F327" s="4" t="str">
        <f>VLOOKUP(E326:E352,Table2[#All],2,0)</f>
        <v>HYDERABAD</v>
      </c>
      <c r="G327" s="4">
        <v>20</v>
      </c>
      <c r="H327" s="5">
        <f>VLOOKUP(C:C,Table1[#All],3,0)</f>
        <v>1600</v>
      </c>
      <c r="I327" s="5">
        <f t="shared" si="5"/>
        <v>32000</v>
      </c>
    </row>
    <row r="328" spans="2:9" x14ac:dyDescent="0.3">
      <c r="B328" s="3">
        <v>46387</v>
      </c>
      <c r="C328" s="4" t="s">
        <v>13</v>
      </c>
      <c r="D328" s="4" t="str">
        <f>VLOOKUP(C328:C352,Table1[],2,0)</f>
        <v>antipyretic</v>
      </c>
      <c r="E328" s="4" t="s">
        <v>45</v>
      </c>
      <c r="F328" s="4" t="str">
        <f>VLOOKUP(E327:E353,Table2[#All],2,0)</f>
        <v>PUNE</v>
      </c>
      <c r="G328" s="4">
        <v>19</v>
      </c>
      <c r="H328" s="5">
        <f>VLOOKUP(C:C,Table1[#All],3,0)</f>
        <v>5400</v>
      </c>
      <c r="I328" s="5">
        <f t="shared" si="5"/>
        <v>102600</v>
      </c>
    </row>
    <row r="329" spans="2:9" x14ac:dyDescent="0.3">
      <c r="B329" s="3">
        <v>46387</v>
      </c>
      <c r="C329" s="4" t="s">
        <v>16</v>
      </c>
      <c r="D329" s="4" t="str">
        <f>VLOOKUP(C329:C353,Table1[],2,0)</f>
        <v>antibacterial</v>
      </c>
      <c r="E329" s="4" t="s">
        <v>47</v>
      </c>
      <c r="F329" s="4" t="str">
        <f>VLOOKUP(E328:E354,Table2[#All],2,0)</f>
        <v>MUMBAI</v>
      </c>
      <c r="G329" s="4">
        <v>30</v>
      </c>
      <c r="H329" s="5">
        <f>VLOOKUP(C:C,Table1[#All],3,0)</f>
        <v>1600</v>
      </c>
      <c r="I329" s="5">
        <f t="shared" si="5"/>
        <v>48000</v>
      </c>
    </row>
    <row r="330" spans="2:9" x14ac:dyDescent="0.3">
      <c r="B330" s="3">
        <v>46387</v>
      </c>
      <c r="C330" s="4" t="s">
        <v>12</v>
      </c>
      <c r="D330" s="4" t="str">
        <f>VLOOKUP(C330:C354,Table1[],2,0)</f>
        <v>antihistamines</v>
      </c>
      <c r="E330" s="4" t="s">
        <v>56</v>
      </c>
      <c r="F330" s="4" t="str">
        <f>VLOOKUP(E329:E355,Table2[#All],2,0)</f>
        <v>PUNE</v>
      </c>
      <c r="G330" s="4">
        <v>14</v>
      </c>
      <c r="H330" s="5">
        <f>VLOOKUP(C:C,Table1[#All],3,0)</f>
        <v>1400</v>
      </c>
      <c r="I330" s="5">
        <f t="shared" si="5"/>
        <v>19600</v>
      </c>
    </row>
    <row r="331" spans="2:9" x14ac:dyDescent="0.3">
      <c r="B331" s="3">
        <v>46387</v>
      </c>
      <c r="C331" s="4" t="s">
        <v>15</v>
      </c>
      <c r="D331" s="4" t="s">
        <v>40</v>
      </c>
      <c r="E331" s="4" t="s">
        <v>56</v>
      </c>
      <c r="F331" s="4" t="str">
        <f>VLOOKUP(E330:E356,Table2[#All],2,0)</f>
        <v>PUNE</v>
      </c>
      <c r="G331" s="4">
        <v>7</v>
      </c>
      <c r="H331" s="5">
        <v>3200</v>
      </c>
      <c r="I331" s="5">
        <f t="shared" si="5"/>
        <v>22400</v>
      </c>
    </row>
    <row r="332" spans="2:9" x14ac:dyDescent="0.3">
      <c r="B332" s="3">
        <v>46387</v>
      </c>
      <c r="C332" s="4" t="s">
        <v>14</v>
      </c>
      <c r="D332" s="4" t="str">
        <f>VLOOKUP(C332:C356,Table1[],2,0)</f>
        <v>vitamins</v>
      </c>
      <c r="E332" s="4" t="s">
        <v>56</v>
      </c>
      <c r="F332" s="4" t="str">
        <f>VLOOKUP(E331:E357,Table2[#All],2,0)</f>
        <v>PUNE</v>
      </c>
      <c r="G332" s="4">
        <v>25</v>
      </c>
      <c r="H332" s="5">
        <f>VLOOKUP(C:C,Table1[#All],3,0)</f>
        <v>425</v>
      </c>
      <c r="I332" s="5">
        <f t="shared" si="5"/>
        <v>10625</v>
      </c>
    </row>
    <row r="333" spans="2:9" x14ac:dyDescent="0.3">
      <c r="B333" s="3">
        <v>46387</v>
      </c>
      <c r="C333" s="4" t="s">
        <v>17</v>
      </c>
      <c r="D333" s="4" t="str">
        <f>VLOOKUP(C333:C357,Table1[],2,0)</f>
        <v>antidiabetic</v>
      </c>
      <c r="E333" s="4" t="s">
        <v>48</v>
      </c>
      <c r="F333" s="4" t="str">
        <f>VLOOKUP(E332:E358,Table2[#All],2,0)</f>
        <v>CHENNAI</v>
      </c>
      <c r="G333" s="4">
        <v>2</v>
      </c>
      <c r="H333" s="5">
        <f>VLOOKUP(C:C,Table1[#All],3,0)</f>
        <v>1080</v>
      </c>
      <c r="I333" s="5">
        <f t="shared" si="5"/>
        <v>2160</v>
      </c>
    </row>
    <row r="334" spans="2:9" x14ac:dyDescent="0.3">
      <c r="B334" s="3">
        <v>46387</v>
      </c>
      <c r="C334" s="4" t="s">
        <v>8</v>
      </c>
      <c r="D334" s="4" t="str">
        <f>VLOOKUP(C334:C358,Table1[],2,0)</f>
        <v>analgesic</v>
      </c>
      <c r="E334" s="4" t="s">
        <v>48</v>
      </c>
      <c r="F334" s="4" t="str">
        <f>VLOOKUP(E333:E359,Table2[#All],2,0)</f>
        <v>CHENNAI</v>
      </c>
      <c r="G334" s="4">
        <v>9</v>
      </c>
      <c r="H334" s="5">
        <f>VLOOKUP(C:C,Table1[#All],3,0)</f>
        <v>2100</v>
      </c>
      <c r="I334" s="5">
        <f t="shared" si="5"/>
        <v>18900</v>
      </c>
    </row>
    <row r="335" spans="2:9" x14ac:dyDescent="0.3">
      <c r="B335" s="3">
        <v>46387</v>
      </c>
      <c r="C335" s="4" t="s">
        <v>17</v>
      </c>
      <c r="D335" s="4" t="str">
        <f>VLOOKUP(C335:C359,Table1[],2,0)</f>
        <v>antidiabetic</v>
      </c>
      <c r="E335" s="4" t="s">
        <v>48</v>
      </c>
      <c r="F335" s="4" t="str">
        <f>VLOOKUP(E334:E360,Table2[#All],2,0)</f>
        <v>CHENNAI</v>
      </c>
      <c r="G335" s="4">
        <v>11</v>
      </c>
      <c r="H335" s="5">
        <f>VLOOKUP(C:C,Table1[#All],3,0)</f>
        <v>1080</v>
      </c>
      <c r="I335" s="5">
        <f t="shared" si="5"/>
        <v>11880</v>
      </c>
    </row>
    <row r="336" spans="2:9" x14ac:dyDescent="0.3">
      <c r="B336" s="3">
        <v>46387</v>
      </c>
      <c r="C336" s="4" t="s">
        <v>18</v>
      </c>
      <c r="D336" s="4" t="s">
        <v>39</v>
      </c>
      <c r="E336" s="4" t="s">
        <v>63</v>
      </c>
      <c r="F336" s="4" t="str">
        <f>VLOOKUP(E335:E361,Table2[#All],2,0)</f>
        <v>DELHI</v>
      </c>
      <c r="G336" s="4">
        <v>30</v>
      </c>
      <c r="H336" s="5">
        <v>3200</v>
      </c>
      <c r="I336" s="5">
        <f t="shared" si="5"/>
        <v>96000</v>
      </c>
    </row>
    <row r="337" spans="2:9" x14ac:dyDescent="0.3">
      <c r="B337" s="3">
        <v>46387</v>
      </c>
      <c r="C337" s="4" t="s">
        <v>8</v>
      </c>
      <c r="D337" s="4" t="str">
        <f>VLOOKUP(C337:C361,Table1[],2,0)</f>
        <v>analgesic</v>
      </c>
      <c r="E337" s="4" t="s">
        <v>63</v>
      </c>
      <c r="F337" s="4" t="str">
        <f>VLOOKUP(E336:E362,Table2[#All],2,0)</f>
        <v>DELHI</v>
      </c>
      <c r="G337" s="4">
        <v>25</v>
      </c>
      <c r="H337" s="5">
        <f>VLOOKUP(C:C,Table1[#All],3,0)</f>
        <v>2100</v>
      </c>
      <c r="I337" s="5">
        <f t="shared" si="5"/>
        <v>52500</v>
      </c>
    </row>
    <row r="338" spans="2:9" x14ac:dyDescent="0.3">
      <c r="B338" s="3">
        <v>46387</v>
      </c>
      <c r="C338" s="4" t="s">
        <v>16</v>
      </c>
      <c r="D338" s="4" t="str">
        <f>VLOOKUP(C338:C362,Table1[],2,0)</f>
        <v>antibacterial</v>
      </c>
      <c r="E338" s="4" t="s">
        <v>63</v>
      </c>
      <c r="F338" s="4" t="str">
        <f>VLOOKUP(E337:E363,Table2[#All],2,0)</f>
        <v>DELHI</v>
      </c>
      <c r="G338" s="4">
        <v>22</v>
      </c>
      <c r="H338" s="5">
        <f>VLOOKUP(C:C,Table1[#All],3,0)</f>
        <v>1600</v>
      </c>
      <c r="I338" s="5">
        <f t="shared" si="5"/>
        <v>35200</v>
      </c>
    </row>
    <row r="339" spans="2:9" x14ac:dyDescent="0.3">
      <c r="B339" s="3">
        <v>46387</v>
      </c>
      <c r="C339" s="4" t="s">
        <v>13</v>
      </c>
      <c r="D339" s="4" t="str">
        <f>VLOOKUP(C339:C363,Table1[],2,0)</f>
        <v>antipyretic</v>
      </c>
      <c r="E339" s="4" t="s">
        <v>55</v>
      </c>
      <c r="F339" s="4" t="str">
        <f>VLOOKUP(E338:E364,Table2[#All],2,0)</f>
        <v>NAGPUR</v>
      </c>
      <c r="G339" s="4">
        <v>17</v>
      </c>
      <c r="H339" s="5">
        <f>VLOOKUP(C:C,Table1[#All],3,0)</f>
        <v>5400</v>
      </c>
      <c r="I339" s="5">
        <f t="shared" si="5"/>
        <v>91800</v>
      </c>
    </row>
    <row r="340" spans="2:9" x14ac:dyDescent="0.3">
      <c r="B340" s="3">
        <v>46387</v>
      </c>
      <c r="C340" s="4" t="s">
        <v>16</v>
      </c>
      <c r="D340" s="4" t="str">
        <f>VLOOKUP(C340:C364,Table1[],2,0)</f>
        <v>antibacterial</v>
      </c>
      <c r="E340" s="4" t="s">
        <v>55</v>
      </c>
      <c r="F340" s="4" t="str">
        <f>VLOOKUP(E339:E365,Table2[#All],2,0)</f>
        <v>NAGPUR</v>
      </c>
      <c r="G340" s="4">
        <v>14</v>
      </c>
      <c r="H340" s="5">
        <f>VLOOKUP(C:C,Table1[#All],3,0)</f>
        <v>1600</v>
      </c>
      <c r="I340" s="5">
        <f t="shared" si="5"/>
        <v>22400</v>
      </c>
    </row>
    <row r="341" spans="2:9" x14ac:dyDescent="0.3">
      <c r="B341" s="3">
        <v>46387</v>
      </c>
      <c r="C341" s="4" t="s">
        <v>12</v>
      </c>
      <c r="D341" s="4" t="str">
        <f>VLOOKUP(C341:C365,Table1[],2,0)</f>
        <v>antihistamines</v>
      </c>
      <c r="E341" s="4" t="s">
        <v>55</v>
      </c>
      <c r="F341" s="4" t="str">
        <f>VLOOKUP(E340:E366,Table2[#All],2,0)</f>
        <v>NAGPUR</v>
      </c>
      <c r="G341" s="4">
        <v>6</v>
      </c>
      <c r="H341" s="5">
        <f>VLOOKUP(C:C,Table1[#All],3,0)</f>
        <v>1400</v>
      </c>
      <c r="I341" s="5">
        <f t="shared" si="5"/>
        <v>8400</v>
      </c>
    </row>
    <row r="342" spans="2:9" x14ac:dyDescent="0.3">
      <c r="B342" s="3">
        <v>46387</v>
      </c>
      <c r="C342" s="4" t="s">
        <v>14</v>
      </c>
      <c r="D342" s="4" t="str">
        <f>VLOOKUP(C342:C366,Table1[],2,0)</f>
        <v>vitamins</v>
      </c>
      <c r="E342" s="4" t="s">
        <v>47</v>
      </c>
      <c r="F342" s="4" t="str">
        <f>VLOOKUP(E341:E367,Table2[#All],2,0)</f>
        <v>MUMBAI</v>
      </c>
      <c r="G342" s="4">
        <v>15</v>
      </c>
      <c r="H342" s="5">
        <f>VLOOKUP(C:C,Table1[#All],3,0)</f>
        <v>425</v>
      </c>
      <c r="I342" s="5">
        <f t="shared" si="5"/>
        <v>6375</v>
      </c>
    </row>
    <row r="343" spans="2:9" x14ac:dyDescent="0.3">
      <c r="B343" s="3">
        <v>46387</v>
      </c>
      <c r="C343" s="4" t="s">
        <v>16</v>
      </c>
      <c r="D343" s="4" t="str">
        <f>VLOOKUP(C343:C367,Table1[],2,0)</f>
        <v>antibacterial</v>
      </c>
      <c r="E343" s="4" t="s">
        <v>47</v>
      </c>
      <c r="F343" s="4" t="str">
        <f>VLOOKUP(E342:E368,Table2[#All],2,0)</f>
        <v>MUMBAI</v>
      </c>
      <c r="G343" s="4">
        <v>14</v>
      </c>
      <c r="H343" s="5">
        <f>VLOOKUP(C:C,Table1[#All],3,0)</f>
        <v>1600</v>
      </c>
      <c r="I343" s="5">
        <f t="shared" si="5"/>
        <v>22400</v>
      </c>
    </row>
    <row r="344" spans="2:9" x14ac:dyDescent="0.3">
      <c r="B344" s="3">
        <v>46387</v>
      </c>
      <c r="C344" s="4" t="s">
        <v>8</v>
      </c>
      <c r="D344" s="4" t="str">
        <f>VLOOKUP(C344:C368,Table1[],2,0)</f>
        <v>analgesic</v>
      </c>
      <c r="E344" s="4" t="s">
        <v>47</v>
      </c>
      <c r="F344" s="4" t="str">
        <f>VLOOKUP(E343:E369,Table2[#All],2,0)</f>
        <v>MUMBAI</v>
      </c>
      <c r="G344" s="4">
        <v>20</v>
      </c>
      <c r="H344" s="5">
        <f>VLOOKUP(C:C,Table1[#All],3,0)</f>
        <v>2100</v>
      </c>
      <c r="I344" s="5">
        <f t="shared" si="5"/>
        <v>42000</v>
      </c>
    </row>
    <row r="345" spans="2:9" x14ac:dyDescent="0.3">
      <c r="B345" s="3">
        <v>46387</v>
      </c>
      <c r="C345" s="4" t="s">
        <v>17</v>
      </c>
      <c r="D345" s="4" t="str">
        <f>VLOOKUP(C345:C369,Table1[],2,0)</f>
        <v>antidiabetic</v>
      </c>
      <c r="E345" s="4" t="s">
        <v>64</v>
      </c>
      <c r="F345" s="4" t="str">
        <f>VLOOKUP(E344:E370,Table2[#All],2,0)</f>
        <v>NAGPUR</v>
      </c>
      <c r="G345" s="4">
        <v>14</v>
      </c>
      <c r="H345" s="5">
        <f>VLOOKUP(C:C,Table1[#All],3,0)</f>
        <v>1080</v>
      </c>
      <c r="I345" s="5">
        <f t="shared" si="5"/>
        <v>15120</v>
      </c>
    </row>
    <row r="346" spans="2:9" x14ac:dyDescent="0.3">
      <c r="B346" s="3">
        <v>46387</v>
      </c>
      <c r="C346" s="4" t="s">
        <v>11</v>
      </c>
      <c r="D346" s="4" t="str">
        <f>VLOOKUP(C346:C370,Table1[],2,0)</f>
        <v>antacids</v>
      </c>
      <c r="E346" s="4" t="s">
        <v>64</v>
      </c>
      <c r="F346" s="4" t="str">
        <f>VLOOKUP(E345:E371,Table2[#All],2,0)</f>
        <v>NAGPUR</v>
      </c>
      <c r="G346" s="4">
        <v>5</v>
      </c>
      <c r="H346" s="5">
        <f>VLOOKUP(C:C,Table1[#All],3,0)</f>
        <v>3216</v>
      </c>
      <c r="I346" s="5">
        <f t="shared" si="5"/>
        <v>16080</v>
      </c>
    </row>
    <row r="347" spans="2:9" x14ac:dyDescent="0.3">
      <c r="B347" s="3">
        <v>46387</v>
      </c>
      <c r="C347" s="4" t="s">
        <v>9</v>
      </c>
      <c r="D347" s="4" t="str">
        <f>VLOOKUP(C347:C371,Table1[],2,0)</f>
        <v>antibiotic</v>
      </c>
      <c r="E347" s="4" t="s">
        <v>64</v>
      </c>
      <c r="F347" s="4" t="str">
        <f>VLOOKUP(E346:E372,Table2[#All],2,0)</f>
        <v>NAGPUR</v>
      </c>
      <c r="G347" s="4">
        <v>13</v>
      </c>
      <c r="H347" s="5">
        <f>VLOOKUP(C:C,Table1[#All],3,0)</f>
        <v>400</v>
      </c>
      <c r="I347" s="5">
        <f t="shared" si="5"/>
        <v>5200</v>
      </c>
    </row>
    <row r="348" spans="2:9" x14ac:dyDescent="0.3">
      <c r="B348" s="3">
        <v>46387</v>
      </c>
      <c r="C348" s="4" t="s">
        <v>15</v>
      </c>
      <c r="D348" s="4" t="s">
        <v>40</v>
      </c>
      <c r="E348" s="4" t="s">
        <v>64</v>
      </c>
      <c r="F348" s="4" t="str">
        <f>VLOOKUP(E347:E373,Table2[#All],2,0)</f>
        <v>NAGPUR</v>
      </c>
      <c r="G348" s="4">
        <v>9</v>
      </c>
      <c r="H348" s="5">
        <v>300</v>
      </c>
      <c r="I348" s="5">
        <f t="shared" si="5"/>
        <v>2700</v>
      </c>
    </row>
    <row r="349" spans="2:9" x14ac:dyDescent="0.3">
      <c r="B349" s="3">
        <v>46387</v>
      </c>
      <c r="C349" s="4" t="s">
        <v>12</v>
      </c>
      <c r="D349" s="4" t="str">
        <f>VLOOKUP(C349:C373,Table1[],2,0)</f>
        <v>antihistamines</v>
      </c>
      <c r="E349" s="4" t="s">
        <v>55</v>
      </c>
      <c r="F349" s="4" t="str">
        <f>VLOOKUP(E348:E374,Table2[#All],2,0)</f>
        <v>NAGPUR</v>
      </c>
      <c r="G349" s="4">
        <v>10</v>
      </c>
      <c r="H349" s="5">
        <f>VLOOKUP(C:C,Table1[#All],3,0)</f>
        <v>1400</v>
      </c>
      <c r="I349" s="5">
        <f t="shared" si="5"/>
        <v>14000</v>
      </c>
    </row>
    <row r="350" spans="2:9" x14ac:dyDescent="0.3">
      <c r="B350" s="3">
        <v>46387</v>
      </c>
      <c r="C350" s="4" t="s">
        <v>12</v>
      </c>
      <c r="D350" s="4" t="str">
        <f>VLOOKUP(C350:C374,Table1[],2,0)</f>
        <v>antihistamines</v>
      </c>
      <c r="E350" s="4" t="s">
        <v>55</v>
      </c>
      <c r="F350" s="4" t="str">
        <f>VLOOKUP(E349:E375,Table2[#All],2,0)</f>
        <v>NAGPUR</v>
      </c>
      <c r="G350" s="4">
        <v>3</v>
      </c>
      <c r="H350" s="5">
        <f>VLOOKUP(C:C,Table1[#All],3,0)</f>
        <v>1400</v>
      </c>
      <c r="I350" s="5">
        <f t="shared" si="5"/>
        <v>4200</v>
      </c>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E855F-87C2-4B0C-8E5A-B67DDB6DB56A}">
  <dimension ref="A3:N17"/>
  <sheetViews>
    <sheetView workbookViewId="0">
      <selection activeCell="E20" sqref="E20"/>
    </sheetView>
  </sheetViews>
  <sheetFormatPr defaultRowHeight="14.4" x14ac:dyDescent="0.3"/>
  <cols>
    <col min="1" max="1" width="12.5546875" bestFit="1" customWidth="1"/>
    <col min="2" max="2" width="14.44140625" bestFit="1" customWidth="1"/>
    <col min="4" max="4" width="14.21875" bestFit="1" customWidth="1"/>
    <col min="5" max="5" width="14.44140625" bestFit="1" customWidth="1"/>
    <col min="7" max="7" width="12.5546875" bestFit="1" customWidth="1"/>
    <col min="8" max="8" width="14.44140625" bestFit="1" customWidth="1"/>
    <col min="10" max="10" width="12.77734375" bestFit="1" customWidth="1"/>
    <col min="11" max="11" width="14.44140625" bestFit="1" customWidth="1"/>
    <col min="13" max="13" width="12.5546875" bestFit="1" customWidth="1"/>
    <col min="14" max="14" width="14.44140625" bestFit="1" customWidth="1"/>
  </cols>
  <sheetData>
    <row r="3" spans="1:14" x14ac:dyDescent="0.3">
      <c r="A3" s="6" t="s">
        <v>69</v>
      </c>
      <c r="B3" t="s">
        <v>71</v>
      </c>
      <c r="D3" s="6" t="s">
        <v>69</v>
      </c>
      <c r="E3" t="s">
        <v>71</v>
      </c>
      <c r="G3" s="6" t="s">
        <v>69</v>
      </c>
      <c r="H3" t="s">
        <v>71</v>
      </c>
      <c r="J3" s="6" t="s">
        <v>69</v>
      </c>
      <c r="K3" t="s">
        <v>71</v>
      </c>
      <c r="M3" s="6" t="s">
        <v>69</v>
      </c>
      <c r="N3" t="s">
        <v>71</v>
      </c>
    </row>
    <row r="4" spans="1:14" x14ac:dyDescent="0.3">
      <c r="A4" s="7" t="s">
        <v>49</v>
      </c>
      <c r="B4" s="8">
        <v>245400</v>
      </c>
      <c r="D4" s="7" t="s">
        <v>9</v>
      </c>
      <c r="E4" s="8">
        <v>16400</v>
      </c>
      <c r="G4" s="7" t="s">
        <v>46</v>
      </c>
      <c r="H4" s="8">
        <v>86100</v>
      </c>
      <c r="J4" s="7" t="s">
        <v>35</v>
      </c>
      <c r="K4" s="8">
        <v>226500</v>
      </c>
      <c r="M4" s="7" t="s">
        <v>72</v>
      </c>
      <c r="N4" s="8">
        <v>1133359</v>
      </c>
    </row>
    <row r="5" spans="1:14" x14ac:dyDescent="0.3">
      <c r="A5" s="7" t="s">
        <v>53</v>
      </c>
      <c r="B5" s="8">
        <v>305456</v>
      </c>
      <c r="D5" s="7" t="s">
        <v>19</v>
      </c>
      <c r="E5" s="8">
        <v>45240</v>
      </c>
      <c r="G5" s="7" t="s">
        <v>60</v>
      </c>
      <c r="H5" s="8">
        <v>15600</v>
      </c>
      <c r="J5" s="7" t="s">
        <v>36</v>
      </c>
      <c r="K5" s="8">
        <v>230994</v>
      </c>
      <c r="M5" s="7" t="s">
        <v>73</v>
      </c>
      <c r="N5" s="8">
        <v>966099</v>
      </c>
    </row>
    <row r="6" spans="1:14" x14ac:dyDescent="0.3">
      <c r="A6" s="7" t="s">
        <v>52</v>
      </c>
      <c r="B6" s="8">
        <v>86100</v>
      </c>
      <c r="D6" s="7" t="s">
        <v>12</v>
      </c>
      <c r="E6" s="8">
        <v>112000</v>
      </c>
      <c r="G6" s="7" t="s">
        <v>48</v>
      </c>
      <c r="H6" s="8">
        <v>305456</v>
      </c>
      <c r="J6" s="7" t="s">
        <v>40</v>
      </c>
      <c r="K6" s="8">
        <v>17500</v>
      </c>
      <c r="M6" s="7" t="s">
        <v>74</v>
      </c>
      <c r="N6" s="8">
        <v>788605</v>
      </c>
    </row>
    <row r="7" spans="1:14" x14ac:dyDescent="0.3">
      <c r="A7" s="7" t="s">
        <v>51</v>
      </c>
      <c r="B7" s="8">
        <v>184945</v>
      </c>
      <c r="D7" s="7" t="s">
        <v>11</v>
      </c>
      <c r="E7" s="8">
        <v>196176</v>
      </c>
      <c r="G7" s="7" t="s">
        <v>47</v>
      </c>
      <c r="H7" s="8">
        <v>184945</v>
      </c>
      <c r="J7" s="7" t="s">
        <v>41</v>
      </c>
      <c r="K7" s="8">
        <v>61640</v>
      </c>
      <c r="M7" s="7" t="s">
        <v>75</v>
      </c>
      <c r="N7" s="8">
        <v>1173710</v>
      </c>
    </row>
    <row r="8" spans="1:14" x14ac:dyDescent="0.3">
      <c r="A8" s="7" t="s">
        <v>50</v>
      </c>
      <c r="B8" s="8">
        <v>311458</v>
      </c>
      <c r="D8" s="7" t="s">
        <v>20</v>
      </c>
      <c r="E8" s="8">
        <v>48000</v>
      </c>
      <c r="G8" s="7" t="s">
        <v>45</v>
      </c>
      <c r="H8" s="8">
        <v>311458</v>
      </c>
      <c r="J8" s="7" t="s">
        <v>42</v>
      </c>
      <c r="K8" s="8">
        <v>97200</v>
      </c>
      <c r="M8" s="7" t="s">
        <v>76</v>
      </c>
      <c r="N8" s="8">
        <v>949024</v>
      </c>
    </row>
    <row r="9" spans="1:14" x14ac:dyDescent="0.3">
      <c r="A9" s="7" t="s">
        <v>70</v>
      </c>
      <c r="B9" s="8">
        <v>1133359</v>
      </c>
      <c r="D9" s="7" t="s">
        <v>13</v>
      </c>
      <c r="E9" s="8">
        <v>237600</v>
      </c>
      <c r="G9" s="7" t="s">
        <v>44</v>
      </c>
      <c r="H9" s="8">
        <v>229800</v>
      </c>
      <c r="J9" s="7" t="s">
        <v>37</v>
      </c>
      <c r="K9" s="8">
        <v>112000</v>
      </c>
      <c r="M9" s="7" t="s">
        <v>77</v>
      </c>
      <c r="N9" s="8">
        <v>736159</v>
      </c>
    </row>
    <row r="10" spans="1:14" x14ac:dyDescent="0.3">
      <c r="D10" s="7" t="s">
        <v>17</v>
      </c>
      <c r="E10" s="8">
        <v>97200</v>
      </c>
      <c r="G10" s="7" t="s">
        <v>70</v>
      </c>
      <c r="H10" s="8">
        <v>1133359</v>
      </c>
      <c r="J10" s="7" t="s">
        <v>38</v>
      </c>
      <c r="K10" s="8">
        <v>237600</v>
      </c>
      <c r="M10" s="7" t="s">
        <v>78</v>
      </c>
      <c r="N10" s="8">
        <v>1284337</v>
      </c>
    </row>
    <row r="11" spans="1:14" x14ac:dyDescent="0.3">
      <c r="D11" s="7" t="s">
        <v>16</v>
      </c>
      <c r="E11" s="8">
        <v>11200</v>
      </c>
      <c r="J11" s="7" t="s">
        <v>39</v>
      </c>
      <c r="K11" s="8">
        <v>149925</v>
      </c>
      <c r="M11" s="7" t="s">
        <v>79</v>
      </c>
      <c r="N11" s="8">
        <v>912631</v>
      </c>
    </row>
    <row r="12" spans="1:14" x14ac:dyDescent="0.3">
      <c r="D12" s="7" t="s">
        <v>10</v>
      </c>
      <c r="E12" s="8">
        <v>34818</v>
      </c>
      <c r="J12" s="7" t="s">
        <v>70</v>
      </c>
      <c r="K12" s="8">
        <v>1133359</v>
      </c>
      <c r="M12" s="7" t="s">
        <v>80</v>
      </c>
      <c r="N12" s="8">
        <v>1175769</v>
      </c>
    </row>
    <row r="13" spans="1:14" x14ac:dyDescent="0.3">
      <c r="D13" s="7" t="s">
        <v>8</v>
      </c>
      <c r="E13" s="8">
        <v>178500</v>
      </c>
      <c r="M13" s="7" t="s">
        <v>81</v>
      </c>
      <c r="N13" s="8">
        <v>768844</v>
      </c>
    </row>
    <row r="14" spans="1:14" x14ac:dyDescent="0.3">
      <c r="D14" s="7" t="s">
        <v>15</v>
      </c>
      <c r="E14" s="8">
        <v>6300</v>
      </c>
      <c r="M14" s="7" t="s">
        <v>82</v>
      </c>
      <c r="N14" s="8">
        <v>900435</v>
      </c>
    </row>
    <row r="15" spans="1:14" x14ac:dyDescent="0.3">
      <c r="D15" s="7" t="s">
        <v>14</v>
      </c>
      <c r="E15" s="8">
        <v>12325</v>
      </c>
      <c r="M15" s="7" t="s">
        <v>83</v>
      </c>
      <c r="N15" s="8">
        <v>1198880</v>
      </c>
    </row>
    <row r="16" spans="1:14" x14ac:dyDescent="0.3">
      <c r="D16" s="7" t="s">
        <v>18</v>
      </c>
      <c r="E16" s="8">
        <v>137600</v>
      </c>
      <c r="M16" s="7" t="s">
        <v>70</v>
      </c>
      <c r="N16" s="8">
        <v>11987852</v>
      </c>
    </row>
    <row r="17" spans="4:5" x14ac:dyDescent="0.3">
      <c r="D17" s="7" t="s">
        <v>70</v>
      </c>
      <c r="E17" s="8">
        <v>1133359</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58A77-1A75-4984-93FF-E82AD395696A}">
  <dimension ref="P2:T2"/>
  <sheetViews>
    <sheetView showGridLines="0" tabSelected="1" zoomScale="60" zoomScaleNormal="60" workbookViewId="0">
      <selection activeCell="X2" sqref="X2"/>
    </sheetView>
  </sheetViews>
  <sheetFormatPr defaultRowHeight="14.4" x14ac:dyDescent="0.3"/>
  <sheetData>
    <row r="2" spans="16:20" ht="31.2" x14ac:dyDescent="0.6">
      <c r="P2" s="9" t="s">
        <v>84</v>
      </c>
      <c r="Q2" s="10"/>
      <c r="R2" s="10"/>
      <c r="S2" s="10"/>
      <c r="T2" s="1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Bibave</dc:creator>
  <cp:lastModifiedBy>Harish Patil</cp:lastModifiedBy>
  <dcterms:created xsi:type="dcterms:W3CDTF">2026-07-18T12:43:36Z</dcterms:created>
  <dcterms:modified xsi:type="dcterms:W3CDTF">2026-10-06T14:08:53Z</dcterms:modified>
</cp:coreProperties>
</file>